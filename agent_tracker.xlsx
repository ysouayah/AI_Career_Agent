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How to use" sheetId="1" state="visible" r:id="rId3"/>
    <sheet name="Agent Log" sheetId="2" state="visible" r:id="rId4"/>
    <sheet name="Test cases" sheetId="3" state="visible" r:id="rId5"/>
    <sheet name="Summary" sheetId="4" state="visible" r:id="rId6"/>
  </sheets>
  <definedNames>
    <definedName function="false" hidden="true" localSheetId="1" name="_xlnm._FilterDatabase" vbProcedure="false">'Agent Log'!$A$1:$S$2000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K1" authorId="0">
      <text>
        <r>
          <rPr>
            <sz val="10"/>
            <rFont val="Arial"/>
            <family val="2"/>
          </rPr>
          <t xml:space="preserve">Filled by update_tracker.py. 'Yes' = approved or near-miss, label these. 'Sample' = a stable ~10% of filtered and low-scoring jobs; label these too, they measure what the agent misses.</t>
        </r>
      </text>
    </comment>
  </commentList>
</comments>
</file>

<file path=xl/sharedStrings.xml><?xml version="1.0" encoding="utf-8"?>
<sst xmlns="http://schemas.openxmlformats.org/spreadsheetml/2006/main" count="817" uniqueCount="438">
  <si>
    <t xml:space="preserve">How this tracker works</t>
  </si>
  <si>
    <t xml:space="preserve">Blue columns (Run date → Review?) come from the agent. Don't edit them; update_tracker.py fills them from agent_log.csv after each run.</t>
  </si>
  <si>
    <t xml:space="preserve">Orange columns (Your verdict → Notes) are yours. Cream cells are where you type; most have dropdowns.</t>
  </si>
  <si>
    <t xml:space="preserve">Weekly routine (~10 minutes)</t>
  </si>
  <si>
    <t xml:space="preserve">1. After the Monday run, get agent_log.csv from the repo and run:  python update_tracker.py</t>
  </si>
  <si>
    <t xml:space="preserve">2. Filter Review? to 'Yes' and 'Sample'. Label Your verdict for each, and Agent error when it got something wrong.</t>
  </si>
  <si>
    <t xml:space="preserve">3. Update Applied?, Outcome and Outcome date as things happen.</t>
  </si>
  <si>
    <t xml:space="preserve">Why the 'Sample' rows matter</t>
  </si>
  <si>
    <t xml:space="preserve">Labeling only approved jobs tells you how good the agent's picks are, never what it throws away. The Sample rows are a stable ~10% of filtered and low-scoring jobs. Your verdicts on them are the only way to measure false negatives, and each labeled row becomes test data when you change the rules.</t>
  </si>
  <si>
    <t xml:space="preserve">Example row</t>
  </si>
  <si>
    <t xml:space="preserve">Row 2 onward on Agent Log are this week's five recommended jobs, entered by hand because the run log starts with the next run. Their agent columns (score, reason, track) are blank: fill the score in from this week's report if you want them counted.</t>
  </si>
  <si>
    <t xml:space="preserve">Test cases</t>
  </si>
  <si>
    <t xml:space="preserve">Known agent failures from past runs, with the correct behavior. They're kept off Agent Log so old runs don't distort the current agent's numbers. Update Status as fixes land; each row is a regression check.</t>
  </si>
  <si>
    <t xml:space="preserve">Jobs you find yourself</t>
  </si>
  <si>
    <t xml:space="preserve">Add them to Agent Log with Decision = "not surfaced". They count toward your applications but not the agent's precision, and they show what it's missing.</t>
  </si>
  <si>
    <t xml:space="preserve">Run date</t>
  </si>
  <si>
    <t xml:space="preserve">Company</t>
  </si>
  <si>
    <t xml:space="preserve">Title</t>
  </si>
  <si>
    <t xml:space="preserve">Location</t>
  </si>
  <si>
    <t xml:space="preserve">Decision</t>
  </si>
  <si>
    <t xml:space="preserve">Score</t>
  </si>
  <si>
    <t xml:space="preserve">Agent reason</t>
  </si>
  <si>
    <t xml:space="preserve">Hiring track</t>
  </si>
  <si>
    <t xml:space="preserve">Rules version</t>
  </si>
  <si>
    <t xml:space="preserve">URL</t>
  </si>
  <si>
    <t xml:space="preserve">Review?</t>
  </si>
  <si>
    <t xml:space="preserve">Your verdict</t>
  </si>
  <si>
    <t xml:space="preserve">Agent error</t>
  </si>
  <si>
    <t xml:space="preserve">Applied?</t>
  </si>
  <si>
    <t xml:space="preserve">Date applied</t>
  </si>
  <si>
    <t xml:space="preserve">Outcome</t>
  </si>
  <si>
    <t xml:space="preserve">Outcome date</t>
  </si>
  <si>
    <t xml:space="preserve">Package issues</t>
  </si>
  <si>
    <t xml:space="preserve">Notes</t>
  </si>
  <si>
    <t xml:space="preserve">Charles River Associates</t>
  </si>
  <si>
    <t xml:space="preserve">Management Advisory Analyst/Associate (Energy)</t>
  </si>
  <si>
    <t xml:space="preserve">Boston, MA</t>
  </si>
  <si>
    <t xml:space="preserve">not surfaced</t>
  </si>
  <si>
    <t xml:space="preserve">Yes</t>
  </si>
  <si>
    <t xml:space="preserve">Should apply</t>
  </si>
  <si>
    <t xml:space="preserve">None</t>
  </si>
  <si>
    <t xml:space="preserve">No response</t>
  </si>
  <si>
    <t xml:space="preserve">Posting requires phone + address on resume; generated resume had neither</t>
  </si>
  <si>
    <t xml:space="preserve">Found yourself, via the agent's near-miss CRA Finance posting (row 8)</t>
  </si>
  <si>
    <t xml:space="preserve">IQVIA</t>
  </si>
  <si>
    <t xml:space="preserve">MASC</t>
  </si>
  <si>
    <t xml:space="preserve">approved</t>
  </si>
  <si>
    <t xml:space="preserve">legacy</t>
  </si>
  <si>
    <t xml:space="preserve">Also approved 9/23 at 85</t>
  </si>
  <si>
    <t xml:space="preserve">Hewlett Packard Enterprise</t>
  </si>
  <si>
    <t xml:space="preserve">Data Science Graduate</t>
  </si>
  <si>
    <t xml:space="preserve">Screening</t>
  </si>
  <si>
    <t xml:space="preserve">Screening quiz done 9/25. Recruiter: Robyn James (robyn.james@hpe.com). Also approved 9/23 (99, then 95).</t>
  </si>
  <si>
    <t xml:space="preserve">Management Solutions</t>
  </si>
  <si>
    <t xml:space="preserve">Data Science Consultant (Class of 2027)</t>
  </si>
  <si>
    <t xml:space="preserve">Package problem</t>
  </si>
  <si>
    <t xml:space="preserve">2-page resume; company brief described a different firm; letter said 'LinkedIn'</t>
  </si>
  <si>
    <t xml:space="preserve">Seeded by hand; add score from the report</t>
  </si>
  <si>
    <t xml:space="preserve">Sentinel Group</t>
  </si>
  <si>
    <t xml:space="preserve">Business Analyst I</t>
  </si>
  <si>
    <t xml:space="preserve">Wakefield, MA</t>
  </si>
  <si>
    <t xml:space="preserve">Maybe</t>
  </si>
  <si>
    <t xml:space="preserve">Timing mismatch</t>
  </si>
  <si>
    <t xml:space="preserve">2-page resume; filler tails on bullets; 78% stat generalized; brief described a different firm</t>
  </si>
  <si>
    <t xml:space="preserve">Likely an immediate hire; Sept 2027 start is a poor fit. Optional. Also approved 9/23 at 86.</t>
  </si>
  <si>
    <t xml:space="preserve">BCG X</t>
  </si>
  <si>
    <t xml:space="preserve">Forward Deployed AI Scientist, Campus, United States</t>
  </si>
  <si>
    <t xml:space="preserve">United States</t>
  </si>
  <si>
    <t xml:space="preserve">https://www.linkedin.com/jobs/view/forward-deployed-ai-scientist-campus-united-states-bcg-x-at-bcg-x-4455452897</t>
  </si>
  <si>
    <t xml:space="preserve">Only application from the first run after relaunch; add date applied and outcome</t>
  </si>
  <si>
    <t xml:space="preserve">(2027 Bachelor's/Master's graduates) Accounting/Business/Finance Consulting Analyst/Associate</t>
  </si>
  <si>
    <t xml:space="preserve">near_miss</t>
  </si>
  <si>
    <t xml:space="preserve">No</t>
  </si>
  <si>
    <t xml:space="preserve">Near miss that led you to apply to CRA's Energy role instead. Filtered as an "internship" in both 9/23 runs (LinkedIn metadata).</t>
  </si>
  <si>
    <t xml:space="preserve">QuantumBlack, AI by McKinsey</t>
  </si>
  <si>
    <t xml:space="preserve">Data Scientist</t>
  </si>
  <si>
    <t xml:space="preserve">Test case T1</t>
  </si>
  <si>
    <t xml:space="preserve">Fidelity Investments</t>
  </si>
  <si>
    <t xml:space="preserve">Quantitative Analyst</t>
  </si>
  <si>
    <t xml:space="preserve">Calibrate</t>
  </si>
  <si>
    <t xml:space="preserve">Junior Data Analyst</t>
  </si>
  <si>
    <t xml:space="preserve">https://www.linkedin.com/jobs/view/junior-data-analyst-at-calibrate-4460477929</t>
  </si>
  <si>
    <t xml:space="preserve">Also approved 9/15 at 95. Test cases T2, T3</t>
  </si>
  <si>
    <t xml:space="preserve">Jobright.ai</t>
  </si>
  <si>
    <t xml:space="preserve">Machine Learning Engineer, Applied AI — New Grad</t>
  </si>
  <si>
    <t xml:space="preserve">Closed the same day. Test case T5</t>
  </si>
  <si>
    <t xml:space="preserve">Machine Learning Engineer, New Grad</t>
  </si>
  <si>
    <t xml:space="preserve">Same posting as the row above. Test case T5</t>
  </si>
  <si>
    <t xml:space="preserve">Arrowstreet Capital</t>
  </si>
  <si>
    <t xml:space="preserve">Quantitative Researcher</t>
  </si>
  <si>
    <t xml:space="preserve">Scored 85 on 9/15. Test case T4</t>
  </si>
  <si>
    <t xml:space="preserve">Jerry</t>
  </si>
  <si>
    <t xml:space="preserve">Associate, BizOps &amp; Analytics</t>
  </si>
  <si>
    <t xml:space="preserve">Test case T6</t>
  </si>
  <si>
    <t xml:space="preserve">GMO</t>
  </si>
  <si>
    <t xml:space="preserve">Quantitative Technology Associate - Class of 2027</t>
  </si>
  <si>
    <t xml:space="preserve">BRG</t>
  </si>
  <si>
    <t xml:space="preserve">Fall 2027 Economic Consulting Associate</t>
  </si>
  <si>
    <t xml:space="preserve">Deadline Oct 16 (final review)</t>
  </si>
  <si>
    <t xml:space="preserve">(2027 Bachelor's/Master's graduates) Economics Consulting Analyst/Associate</t>
  </si>
  <si>
    <t xml:space="preserve">Keystone</t>
  </si>
  <si>
    <t xml:space="preserve">Associates and Consultants (2027 Graduates)</t>
  </si>
  <si>
    <t xml:space="preserve">IBM</t>
  </si>
  <si>
    <t xml:space="preserve">Quantum Data Analyst Intern 2027</t>
  </si>
  <si>
    <t xml:space="preserve">filtered</t>
  </si>
  <si>
    <t xml:space="preserve">internship role; requires a masters degree</t>
  </si>
  <si>
    <t xml:space="preserve">AMD</t>
  </si>
  <si>
    <t xml:space="preserve">2027 Undergrad Data Analyst Intern/co-op</t>
  </si>
  <si>
    <t xml:space="preserve">internship role; start date 2027-01 is before graduation</t>
  </si>
  <si>
    <t xml:space="preserve">2027 Masters Data Analyst Intern/co-op</t>
  </si>
  <si>
    <t xml:space="preserve">internship role; requires a masters degree; start date 2027-01 is before graduation</t>
  </si>
  <si>
    <t xml:space="preserve">2027 Summer Associates and Consultants Interest</t>
  </si>
  <si>
    <t xml:space="preserve">internship role</t>
  </si>
  <si>
    <t xml:space="preserve">MBA Consultant (2027 Grads)</t>
  </si>
  <si>
    <t xml:space="preserve">requires 5+ years of experience; requires a masters degree</t>
  </si>
  <si>
    <t xml:space="preserve">Mapfre</t>
  </si>
  <si>
    <t xml:space="preserve">Intern - Advanced Analytics (Summer 2027)</t>
  </si>
  <si>
    <t xml:space="preserve">Capital One</t>
  </si>
  <si>
    <t xml:space="preserve">Current Master's - Data Science Internship - Summer 2027</t>
  </si>
  <si>
    <t xml:space="preserve">internship role; requires a masters degree; requires relocation to Cambridge, MA; targets graduates 2027-09 to 2028-08</t>
  </si>
  <si>
    <t xml:space="preserve">Test case T9</t>
  </si>
  <si>
    <t xml:space="preserve">John Hancock</t>
  </si>
  <si>
    <t xml:space="preserve">Summer Intern 2027 - AI</t>
  </si>
  <si>
    <t xml:space="preserve">Current PhD - Data Science Internship - Summer 2027</t>
  </si>
  <si>
    <t xml:space="preserve">internship role; requires a phd degree</t>
  </si>
  <si>
    <t xml:space="preserve">Merck</t>
  </si>
  <si>
    <t xml:space="preserve">2027 Future Talent Program - Nonclinical Drug Safety Data Scientist - Intern</t>
  </si>
  <si>
    <t xml:space="preserve">Wayfair</t>
  </si>
  <si>
    <t xml:space="preserve">Machine Learning Science Intern - Summer 2027</t>
  </si>
  <si>
    <t xml:space="preserve">internship role; requires a phd degree; targets graduates 2027-12 to 2028-08</t>
  </si>
  <si>
    <t xml:space="preserve">2027 Future Talent Program - Epidemiology and RWE Capabilities &amp; Analytics - Intern</t>
  </si>
  <si>
    <t xml:space="preserve">Google</t>
  </si>
  <si>
    <t xml:space="preserve">Data Scientist, Product Intern, MS, Summer 2027</t>
  </si>
  <si>
    <t xml:space="preserve">internship role; requires a masters degree; requires relocation to Cambridge, MA</t>
  </si>
  <si>
    <t xml:space="preserve">Liberty Mutual Insurance</t>
  </si>
  <si>
    <t xml:space="preserve">Solaria Labs Data Science Co-op (January - June 2027)</t>
  </si>
  <si>
    <t xml:space="preserve">Aspen Technology</t>
  </si>
  <si>
    <t xml:space="preserve">Data Science Intern - Summer 2027 - Bedford, MA</t>
  </si>
  <si>
    <t xml:space="preserve">internship role; requires 5+ years of experience; requires a masters degree</t>
  </si>
  <si>
    <t xml:space="preserve">MKS Inc.</t>
  </si>
  <si>
    <t xml:space="preserve">2027 Spring Data &amp; Analytics Intern (R20783)</t>
  </si>
  <si>
    <t xml:space="preserve">PwC</t>
  </si>
  <si>
    <t xml:space="preserve">Deals - Diligence Analytics Intern - Summer 2027</t>
  </si>
  <si>
    <t xml:space="preserve">internship role; targets graduates 2028-01 to 2028-12</t>
  </si>
  <si>
    <t xml:space="preserve">Altman Solon</t>
  </si>
  <si>
    <t xml:space="preserve">2027 Summer/Winter Data Analyst</t>
  </si>
  <si>
    <t xml:space="preserve">internship role; targets graduates 2027-12 to 2028-05; start date 2027-01 is before graduation</t>
  </si>
  <si>
    <t xml:space="preserve">S&amp;P Global</t>
  </si>
  <si>
    <t xml:space="preserve">Machine Learning Engineer - Summer Intern 2027</t>
  </si>
  <si>
    <t xml:space="preserve">internship role; requires relocation to Cambridge, MA</t>
  </si>
  <si>
    <t xml:space="preserve">Kensho Technologies</t>
  </si>
  <si>
    <t xml:space="preserve">WHOOP</t>
  </si>
  <si>
    <t xml:space="preserve">Business Analyst I (Growth Marketing)</t>
  </si>
  <si>
    <t xml:space="preserve">CarGurus</t>
  </si>
  <si>
    <t xml:space="preserve">Associate Marketing Data Analyst</t>
  </si>
  <si>
    <t xml:space="preserve">Associate Consultant - Corporate Strategy &amp; Research (Summer 2027)</t>
  </si>
  <si>
    <t xml:space="preserve">ICF</t>
  </si>
  <si>
    <t xml:space="preserve">Public Policy Researcher (Entry-Level, Hybrid, Summer 2027)</t>
  </si>
  <si>
    <t xml:space="preserve">First 9/23 run filtered it: "requires a security clearance"</t>
  </si>
  <si>
    <t xml:space="preserve">Beghou</t>
  </si>
  <si>
    <t xml:space="preserve">Associate Consultant - 2027 Start Date</t>
  </si>
  <si>
    <t xml:space="preserve">First 9/23 run filtered it: "start date 2027-01". Test case T11</t>
  </si>
  <si>
    <t xml:space="preserve">Avangrid</t>
  </si>
  <si>
    <t xml:space="preserve">2027 Local Rotational Program: Technology, Digital &amp; Analytics</t>
  </si>
  <si>
    <t xml:space="preserve">First 9/23 run filtered it for relocation though Boston is listed. Test case T8</t>
  </si>
  <si>
    <t xml:space="preserve">Kx Advisors</t>
  </si>
  <si>
    <t xml:space="preserve">Associate Consultant 8/3/27 start</t>
  </si>
  <si>
    <t xml:space="preserve">Deadline Sept 30, 2026</t>
  </si>
  <si>
    <t xml:space="preserve">Fall 2027 Associate Consultant, Life Sciences Strategy</t>
  </si>
  <si>
    <t xml:space="preserve">Mathematica</t>
  </si>
  <si>
    <t xml:space="preserve">Policy Associate, Medicare Value-Based Care (Remote Eligible)</t>
  </si>
  <si>
    <t xml:space="preserve">Analog Devices</t>
  </si>
  <si>
    <t xml:space="preserve">Associate Machine Learning Engineer</t>
  </si>
  <si>
    <t xml:space="preserve">Prefers 2–5 years</t>
  </si>
  <si>
    <t xml:space="preserve">National Legal Aid &amp; Defender Association</t>
  </si>
  <si>
    <t xml:space="preserve">Policy Associate</t>
  </si>
  <si>
    <t xml:space="preserve">Also approved in the first 9/23 run at 90. Test case T7</t>
  </si>
  <si>
    <t xml:space="preserve">Iron Mountain</t>
  </si>
  <si>
    <t xml:space="preserve">Machine Learning Associate</t>
  </si>
  <si>
    <t xml:space="preserve">Requires Golang or Java/Kotlin. Test case T14</t>
  </si>
  <si>
    <t xml:space="preserve">Associate Data Scientist</t>
  </si>
  <si>
    <t xml:space="preserve">requires 1+ years of experience</t>
  </si>
  <si>
    <t xml:space="preserve">Filtered in both 9/23 runs</t>
  </si>
  <si>
    <t xml:space="preserve">MarketOnce</t>
  </si>
  <si>
    <t xml:space="preserve">Associate Data Analyst</t>
  </si>
  <si>
    <t xml:space="preserve">requires 3+ years of experience</t>
  </si>
  <si>
    <t xml:space="preserve">First run also said "relocation to Denver, CO or Boston, MA". Test case T10</t>
  </si>
  <si>
    <t xml:space="preserve">Alvarez &amp; Marsal</t>
  </si>
  <si>
    <t xml:space="preserve">Associate, Digital Finance Transformation - Data Scientist - Private Equity Performance Improvement (Open to all US locations)</t>
  </si>
  <si>
    <t xml:space="preserve">requires 3+ years of experience; start date immediate is before graduation</t>
  </si>
  <si>
    <t xml:space="preserve">Filtered in both 9/23 runs. Test case T13</t>
  </si>
  <si>
    <t xml:space="preserve">L.E.K. Consulting</t>
  </si>
  <si>
    <t xml:space="preserve">Associate Data &amp; AI Analyst</t>
  </si>
  <si>
    <t xml:space="preserve">requires 2+ years of experience</t>
  </si>
  <si>
    <t xml:space="preserve">Northeastern University</t>
  </si>
  <si>
    <t xml:space="preserve">Associate AI Engineer</t>
  </si>
  <si>
    <t xml:space="preserve">requires 4+ years of experience</t>
  </si>
  <si>
    <t xml:space="preserve">Lockheed Martin</t>
  </si>
  <si>
    <t xml:space="preserve">Operations Data Analyst Associate</t>
  </si>
  <si>
    <t xml:space="preserve">Goldbelt Professional Services</t>
  </si>
  <si>
    <t xml:space="preserve">Data Analyst I (ERIB)</t>
  </si>
  <si>
    <t xml:space="preserve">Associate - Global Transaction Analytics</t>
  </si>
  <si>
    <t xml:space="preserve">requires 2+ years of experience; start date immediate is before graduation</t>
  </si>
  <si>
    <t xml:space="preserve">Test case T13</t>
  </si>
  <si>
    <t xml:space="preserve">Abt Global</t>
  </si>
  <si>
    <t xml:space="preserve">Associate Analyst- Health Policy Implementation</t>
  </si>
  <si>
    <t xml:space="preserve">First 9/23 run also said "requires a security clearance"</t>
  </si>
  <si>
    <t xml:space="preserve">(2027 Bachelor's/Master's graduates) Cyber &amp; Forensic Technology Consulting Analyst/Associate</t>
  </si>
  <si>
    <t xml:space="preserve">internship role ("Employment type Internship")</t>
  </si>
  <si>
    <t xml:space="preserve">Test case T12</t>
  </si>
  <si>
    <t xml:space="preserve">ZS</t>
  </si>
  <si>
    <t xml:space="preserve">R&amp;D Domain Specialist – Research Technology &amp; Innovation Associate Consultant (Discovery)</t>
  </si>
  <si>
    <t xml:space="preserve">Strategy Insights &amp; Planning Associate Consultant- Emerging Pharma</t>
  </si>
  <si>
    <t xml:space="preserve">requires a masters degree</t>
  </si>
  <si>
    <t xml:space="preserve">Zifo</t>
  </si>
  <si>
    <t xml:space="preserve">Associate Scientific Strategy Consultant</t>
  </si>
  <si>
    <t xml:space="preserve">requires 5+ years of experience</t>
  </si>
  <si>
    <t xml:space="preserve">Management Consulting - Finance Solutions Associate - Winter 2027</t>
  </si>
  <si>
    <t xml:space="preserve">start date 2027-01 is before graduation</t>
  </si>
  <si>
    <t xml:space="preserve">Oliver Wyman</t>
  </si>
  <si>
    <t xml:space="preserve">Consumer, Telco &amp; Technology – Senior Consultant or Associate</t>
  </si>
  <si>
    <t xml:space="preserve">Performance Transformation (PTX) – Senior Consultant or Associate</t>
  </si>
  <si>
    <t xml:space="preserve">HEOR &amp; Evidence Communications Associate Consultant</t>
  </si>
  <si>
    <t xml:space="preserve">requires 1+ years of experience; requires a masters degree</t>
  </si>
  <si>
    <t xml:space="preserve">Red Nucleus</t>
  </si>
  <si>
    <t xml:space="preserve">Associate Consultant - Value and Evidence</t>
  </si>
  <si>
    <t xml:space="preserve">GW&amp;K Investment Management</t>
  </si>
  <si>
    <t xml:space="preserve">Associate Taxable Research Analyst</t>
  </si>
  <si>
    <t xml:space="preserve">Lila Sciences</t>
  </si>
  <si>
    <t xml:space="preserve">ML Engineer, Applied AI</t>
  </si>
  <si>
    <t xml:space="preserve">Mass General Brigham</t>
  </si>
  <si>
    <t xml:space="preserve">Business Analyst II</t>
  </si>
  <si>
    <t xml:space="preserve">Prefers 2–4 years. Test case T16</t>
  </si>
  <si>
    <t xml:space="preserve">Canonical</t>
  </si>
  <si>
    <t xml:space="preserve">Python and Kubernetes Software Engineer - Data, AI/ML &amp; Analytics</t>
  </si>
  <si>
    <t xml:space="preserve">Kubernetes not on resume. Test case T15</t>
  </si>
  <si>
    <t xml:space="preserve">Guidehouse</t>
  </si>
  <si>
    <t xml:space="preserve">Consultant – State and Local Government - Campus 2027</t>
  </si>
  <si>
    <t xml:space="preserve">Filtered in all three runs since 9/23</t>
  </si>
  <si>
    <t xml:space="preserve">Kearney</t>
  </si>
  <si>
    <t xml:space="preserve">Activate Data and AI Business Analyst</t>
  </si>
  <si>
    <t xml:space="preserve">Boston University</t>
  </si>
  <si>
    <t xml:space="preserve">Research Data Analyst I, School of Medicine, Anatomy &amp; Neurobiology</t>
  </si>
  <si>
    <t xml:space="preserve">Also filtered 9/23</t>
  </si>
  <si>
    <t xml:space="preserve">Commercial Pharma Analytics Associate Consultant</t>
  </si>
  <si>
    <t xml:space="preserve">Chickasaw Nation Industries</t>
  </si>
  <si>
    <t xml:space="preserve">Data Analyst III</t>
  </si>
  <si>
    <t xml:space="preserve">DraftKings</t>
  </si>
  <si>
    <t xml:space="preserve">Analyst II, Casino Analytics</t>
  </si>
  <si>
    <t xml:space="preserve">Beth Israel Lahey Health</t>
  </si>
  <si>
    <t xml:space="preserve">Business Analyst II, Research (Hybrid)</t>
  </si>
  <si>
    <t xml:space="preserve">Healthcare Claim Data Analytics Professional (4 days in office)</t>
  </si>
  <si>
    <t xml:space="preserve">Consultant - Health Analytics</t>
  </si>
  <si>
    <t xml:space="preserve">Trinity Life Sciences</t>
  </si>
  <si>
    <t xml:space="preserve">Consultant, Sales Analytics</t>
  </si>
  <si>
    <t xml:space="preserve">Cartesian</t>
  </si>
  <si>
    <t xml:space="preserve">Consultant – Strategy &amp; Analytics</t>
  </si>
  <si>
    <t xml:space="preserve">XPO</t>
  </si>
  <si>
    <t xml:space="preserve">Data Scientist (GenAI Solutions) - Hybrid</t>
  </si>
  <si>
    <t xml:space="preserve">Motion Recruitment</t>
  </si>
  <si>
    <t xml:space="preserve">Machine Learning Engineer, Robotics and Physical AI - Burlington, MA</t>
  </si>
  <si>
    <t xml:space="preserve">posted by a staffing agency; requires 4+ years of experience</t>
  </si>
  <si>
    <t xml:space="preserve">Machine Learning Engineer, Physical AI Systems - Westborough, MA</t>
  </si>
  <si>
    <t xml:space="preserve">posted by a staffing agency; requires 2+ years of experience</t>
  </si>
  <si>
    <t xml:space="preserve">Olympus Corporation</t>
  </si>
  <si>
    <t xml:space="preserve">Data Scientist, Advanced Market Analytics &amp; Modeling</t>
  </si>
  <si>
    <t xml:space="preserve">requires 7+ years of experience</t>
  </si>
  <si>
    <t xml:space="preserve">Data Scientist III- Insurance &amp; Advanced Analytics (Hybrid- Webster or Boston)</t>
  </si>
  <si>
    <t xml:space="preserve">EY-Parthenon</t>
  </si>
  <si>
    <t xml:space="preserve">Strategy and Execution - Growth Platforms - AI/ML Engineer - Sr Associate/Consultant</t>
  </si>
  <si>
    <t xml:space="preserve">McKinsey &amp; Company</t>
  </si>
  <si>
    <t xml:space="preserve">Senior Data Scientist - Life Sciences.AI</t>
  </si>
  <si>
    <t xml:space="preserve">Senior Data Scientist - Scientific AI</t>
  </si>
  <si>
    <t xml:space="preserve">requires 2+ years of experience; requires a phd degree</t>
  </si>
  <si>
    <t xml:space="preserve">Lumeris</t>
  </si>
  <si>
    <t xml:space="preserve">Sr. Data Scientist - AI Voice</t>
  </si>
  <si>
    <t xml:space="preserve">Valo Health</t>
  </si>
  <si>
    <t xml:space="preserve">Staff Data Scientist, Machine Learning in Epidemiology and Patient Data Products</t>
  </si>
  <si>
    <t xml:space="preserve">Tufts University</t>
  </si>
  <si>
    <t xml:space="preserve">Senior Data Analyst TIAI</t>
  </si>
  <si>
    <t xml:space="preserve">requires 2+ years of experience; requires a masters degree</t>
  </si>
  <si>
    <t xml:space="preserve">CenterWell Senior Primary Care</t>
  </si>
  <si>
    <t xml:space="preserve">Senior Analytics Consultant</t>
  </si>
  <si>
    <t xml:space="preserve">Goddard</t>
  </si>
  <si>
    <t xml:space="preserve">Senior Machine Learning Engineer – Physical AI</t>
  </si>
  <si>
    <t xml:space="preserve">Xometry</t>
  </si>
  <si>
    <t xml:space="preserve">Staff Machine Learning Engineer - Generative AI</t>
  </si>
  <si>
    <t xml:space="preserve">Amazon Web Services (AWS)</t>
  </si>
  <si>
    <t xml:space="preserve">Senior Machine Learning Engineer, Neuro-Symbolic AI Labs</t>
  </si>
  <si>
    <t xml:space="preserve">Simon-Kucher</t>
  </si>
  <si>
    <t xml:space="preserve">Senior Consultant, Data Science – Elevate – Healthcare &amp; Life Sciences</t>
  </si>
  <si>
    <t xml:space="preserve">Health Data Science Consultant- Senior Associate</t>
  </si>
  <si>
    <t xml:space="preserve">Senior Consultant - Life Sciences Data &amp; Analytics</t>
  </si>
  <si>
    <t xml:space="preserve">Senior Consultant - Commercial Operations &amp; Analytics</t>
  </si>
  <si>
    <t xml:space="preserve">Case</t>
  </si>
  <si>
    <t xml:space="preserve">First seen</t>
  </si>
  <si>
    <t xml:space="preserve">Role</t>
  </si>
  <si>
    <t xml:space="preserve">What the agent did</t>
  </si>
  <si>
    <t xml:space="preserve">Correct behavior</t>
  </si>
  <si>
    <t xml:space="preserve">Failure type</t>
  </si>
  <si>
    <t xml:space="preserve">Addressed by</t>
  </si>
  <si>
    <t xml:space="preserve">Status</t>
  </si>
  <si>
    <t xml:space="preserve">T1</t>
  </si>
  <si>
    <t xml:space="preserve">96/100; graduation fit justified by the search query "2027", not by anything in the posting</t>
  </si>
  <si>
    <t xml:space="preserve">Judge timeline only from the posting's own text</t>
  </si>
  <si>
    <t xml:space="preserve">Evidence</t>
  </si>
  <si>
    <t xml:space="preserve">Every disqualifying field now needs a verified quote from the posting</t>
  </si>
  <si>
    <t xml:space="preserve">Fixed in code</t>
  </si>
  <si>
    <t xml:space="preserve">T2</t>
  </si>
  <si>
    <t xml:space="preserve">95/100 approved: 0–2 years, no class year, program, or start date</t>
  </si>
  <si>
    <t xml:space="preserve">Flag as a likely immediate hire; not a top match for a Sept 2027 start</t>
  </si>
  <si>
    <t xml:space="preserve">Timing</t>
  </si>
  <si>
    <t xml:space="preserve">Hiring-track tag labels it, but only filters when the posting says "immediate"</t>
  </si>
  <si>
    <t xml:space="preserve">Partly fixed</t>
  </si>
  <si>
    <t xml:space="preserve">linkedin.com/jobs/view/junior-data-analyst-at-calibrate-4460477929</t>
  </si>
  <si>
    <t xml:space="preserve">T3</t>
  </si>
  <si>
    <t xml:space="preserve">Resurfaced two days after a package had been generated for it</t>
  </si>
  <si>
    <t xml:space="preserve">A packaged job never resurfaces</t>
  </si>
  <si>
    <t xml:space="preserve">Memory</t>
  </si>
  <si>
    <t xml:space="preserve">Not an agent bug: memory_bank.db was wiped on purpose between runs</t>
  </si>
  <si>
    <t xml:space="preserve">Not a bug</t>
  </si>
  <si>
    <t xml:space="preserve">Wipes are no longer needed: any change to run_everything.py or the config releases old rejections automatically. Wiping also brings packaged jobs back, which adds duplicate rows here.</t>
  </si>
  <si>
    <t xml:space="preserve">T4</t>
  </si>
  <si>
    <t xml:space="preserve">Scored 85 on 9/15 and 95 on 9/21 for the same posting</t>
  </si>
  <si>
    <t xml:space="preserve">An unchanged posting scores within about ±5</t>
  </si>
  <si>
    <t xml:space="preserve">Score drift</t>
  </si>
  <si>
    <t xml:space="preserve">Calibration anchors in the grader prompt</t>
  </si>
  <si>
    <t xml:space="preserve">T5</t>
  </si>
  <si>
    <t xml:space="preserve">Machine Learning Engineer (two postings)</t>
  </si>
  <si>
    <t xml:space="preserve">Two identical postings under slightly different titles, both 95/100; the posting said "no longer accepting applications" the same day</t>
  </si>
  <si>
    <t xml:space="preserve">One entry per job; a closed posting never reaches the report</t>
  </si>
  <si>
    <t xml:space="preserve">Duplicate / closed</t>
  </si>
  <si>
    <t xml:space="preserve">Duplicates: compared by description (5-word shingles, 85% match). Closed postings: every reported link is re-opened just before the email.</t>
  </si>
  <si>
    <t xml:space="preserve">"Machine Learning Engineer, Applied AI — New Grad" vs "Machine Learning Engineer, New Grad"</t>
  </si>
  <si>
    <t xml:space="preserve">T6</t>
  </si>
  <si>
    <t xml:space="preserve">99/100 while noting a preference for 1+ years of management consulting</t>
  </si>
  <si>
    <t xml:space="preserve">A preferred-experience gap costs points: 85–89 at most</t>
  </si>
  <si>
    <t xml:space="preserve">Score inflation</t>
  </si>
  <si>
    <t xml:space="preserve">That run scored 99, 99, 98, 97, 96 and wrote "Hurdles: None" more than once</t>
  </si>
  <si>
    <t xml:space="preserve">T7</t>
  </si>
  <si>
    <t xml:space="preserve">Approved in both 9/23 runs (90, then 89)</t>
  </si>
  <si>
    <t xml:space="preserve">Filtered if the role isn't in Greater Boston</t>
  </si>
  <si>
    <t xml:space="preserve">Nothing yet</t>
  </si>
  <si>
    <t xml:space="preserve">Open</t>
  </si>
  <si>
    <t xml:space="preserve">Verify the posting's location; the organization is based in Washington, DC</t>
  </si>
  <si>
    <t xml:space="preserve">T8</t>
  </si>
  <si>
    <t xml:space="preserve">Filtered: "requires relocation" although Boston is one of the listed sites</t>
  </si>
  <si>
    <t xml:space="preserve">Eligible when Boston is among the locations</t>
  </si>
  <si>
    <t xml:space="preserve">Quote verification; approved 93 in the next run</t>
  </si>
  <si>
    <t xml:space="preserve">Fixed in later run</t>
  </si>
  <si>
    <t xml:space="preserve">T9</t>
  </si>
  <si>
    <t xml:space="preserve">Capital One / Google / S&amp;P Global</t>
  </si>
  <si>
    <t xml:space="preserve">Summer 2027 internships</t>
  </si>
  <si>
    <t xml:space="preserve">Reason given: "requires relocation to Cambridge, MA"</t>
  </si>
  <si>
    <t xml:space="preserve">Cambridge is commutable; these should be filtered as internships only</t>
  </si>
  <si>
    <t xml:space="preserve">Outcome was right, reason was wrong</t>
  </si>
  <si>
    <t xml:space="preserve">T10</t>
  </si>
  <si>
    <t xml:space="preserve">Reason given: "requires relocation to Denver, CO or Boston, MA"</t>
  </si>
  <si>
    <t xml:space="preserve">Not relocation when Boston is an option (3+ years still filters it)</t>
  </si>
  <si>
    <t xml:space="preserve">T11</t>
  </si>
  <si>
    <t xml:space="preserve">Filtered: "start date 2027-01 is before graduation"</t>
  </si>
  <si>
    <t xml:space="preserve">"2027 Start Date" with no month is not January</t>
  </si>
  <si>
    <t xml:space="preserve">Quote verification; approved 94 in the next run</t>
  </si>
  <si>
    <t xml:space="preserve">T12</t>
  </si>
  <si>
    <t xml:space="preserve">Filtered as an internship, based on LinkedIn's "Employment type: Internship" field</t>
  </si>
  <si>
    <t xml:space="preserve">A graduate-cohort title outranks board metadata: full-time</t>
  </si>
  <si>
    <t xml:space="preserve">Metadata</t>
  </si>
  <si>
    <t xml:space="preserve">Reached near-miss (80) on 9/25, so it now passes the rules</t>
  </si>
  <si>
    <t xml:space="preserve">The Cyber &amp; Forensic Technology posting was filtered the same way; not seen since</t>
  </si>
  <si>
    <t xml:space="preserve">T13</t>
  </si>
  <si>
    <t xml:space="preserve">"Start date immediate", based on "recruits on an ongoing basis... until filled"</t>
  </si>
  <si>
    <t xml:space="preserve">Rolling applications are not an immediate start (2+ years still filters it)</t>
  </si>
  <si>
    <t xml:space="preserve">Extraction prompt separates the application process from the start date</t>
  </si>
  <si>
    <t xml:space="preserve">T14</t>
  </si>
  <si>
    <t xml:space="preserve">88/100 approved despite a stated requirement for Golang or Java/Kotlin</t>
  </si>
  <si>
    <t xml:space="preserve">An unmet hard technical requirement keeps it below 85</t>
  </si>
  <si>
    <t xml:space="preserve">Unmet requirement</t>
  </si>
  <si>
    <t xml:space="preserve">Grader lists unmet required skills with the posting's words; Python verifies the quote, skips anything phrased as preferred, and caps at 79.</t>
  </si>
  <si>
    <t xml:space="preserve">T15</t>
  </si>
  <si>
    <t xml:space="preserve">87/100; Kubernetes is in the title and not on the resume</t>
  </si>
  <si>
    <t xml:space="preserve">Capped at 79</t>
  </si>
  <si>
    <t xml:space="preserve">Title technology</t>
  </si>
  <si>
    <t xml:space="preserve">Title-technology cap, checked in Python</t>
  </si>
  <si>
    <t xml:space="preserve">T16</t>
  </si>
  <si>
    <t xml:space="preserve">88/100 approved; a level-II title that prefers 2–4 years</t>
  </si>
  <si>
    <t xml:space="preserve">Near miss at most; II/III titles are mid-level</t>
  </si>
  <si>
    <t xml:space="preserve">Seniority</t>
  </si>
  <si>
    <t xml:space="preserve">Senior ranking covers Senior/Sr/Staff/Principal only</t>
  </si>
  <si>
    <t xml:space="preserve">T17</t>
  </si>
  <si>
    <t xml:space="preserve">Management Solutions / Sentinel Group</t>
  </si>
  <si>
    <t xml:space="preserve">Application packages</t>
  </si>
  <si>
    <t xml:space="preserve">Brief about a different company, 2-page resume, flattened 78% stat, filler clauses, "as advertised on LinkedIn"</t>
  </si>
  <si>
    <t xml:space="preserve">Correct company, one page, figures kept verbatim, no invented source</t>
  </si>
  <si>
    <t xml:space="preserve">Package</t>
  </si>
  <si>
    <t xml:space="preserve">One-page fitting, grounding checks, letter rules, brief disambiguation</t>
  </si>
  <si>
    <t xml:space="preserve">T18</t>
  </si>
  <si>
    <t xml:space="preserve">(every run)</t>
  </si>
  <si>
    <t xml:space="preserve">Email report</t>
  </si>
  <si>
    <t xml:space="preserve">PROS/HURDLES bullets collapse into inline " * " text; "Rolling / ASAP. Apply immediately." on nearly every job</t>
  </si>
  <si>
    <t xml:space="preserve">Real bullet lists; no urgency the posting doesn't state</t>
  </si>
  <si>
    <t xml:space="preserve">Report</t>
  </si>
  <si>
    <t xml:space="preserve">Blank lines added around lists, plus a Python pass that inserts them anyway; default deadline is now "No deadline stated".</t>
  </si>
  <si>
    <t xml:space="preserve">Cosmetic</t>
  </si>
  <si>
    <t xml:space="preserve">Current rules</t>
  </si>
  <si>
    <t xml:space="preserve">Legacy runs</t>
  </si>
  <si>
    <t xml:space="preserve">Legacy = past runs under older rules: the baseline the current agent should beat.</t>
  </si>
  <si>
    <t xml:space="preserve">AGENT OUTPUT</t>
  </si>
  <si>
    <t xml:space="preserve">Current-rules rows start with the next run. Rates show — until there are labels.</t>
  </si>
  <si>
    <t xml:space="preserve">Jobs in the log</t>
  </si>
  <si>
    <t xml:space="preserve">Approved (85+)</t>
  </si>
  <si>
    <t xml:space="preserve">Near misses</t>
  </si>
  <si>
    <t xml:space="preserve">Scored below floor</t>
  </si>
  <si>
    <t xml:space="preserve">Filtered by rules</t>
  </si>
  <si>
    <t xml:space="preserve">HOW GOOD ARE ITS PICKS?</t>
  </si>
  <si>
    <t xml:space="preserve">Approved jobs you labeled</t>
  </si>
  <si>
    <t xml:space="preserve">…of which you'd apply to</t>
  </si>
  <si>
    <t xml:space="preserve">Precision</t>
  </si>
  <si>
    <t xml:space="preserve">Near misses you labeled</t>
  </si>
  <si>
    <t xml:space="preserve">…that should have been approved</t>
  </si>
  <si>
    <t xml:space="preserve">Near-miss upgrade rate</t>
  </si>
  <si>
    <t xml:space="preserve">WHAT IS IT MISSING?</t>
  </si>
  <si>
    <t xml:space="preserve">Rejected jobs you labeled</t>
  </si>
  <si>
    <t xml:space="preserve">…that you'd actually apply to</t>
  </si>
  <si>
    <t xml:space="preserve">Miss rate</t>
  </si>
  <si>
    <t xml:space="preserve">Jobs you found yourself</t>
  </si>
  <si>
    <t xml:space="preserve">YOUR APPLICATIONS (all rows)</t>
  </si>
  <si>
    <t xml:space="preserve">Applications sent</t>
  </si>
  <si>
    <t xml:space="preserve">Reached screening or further</t>
  </si>
  <si>
    <t xml:space="preserve">Response rate</t>
  </si>
  <si>
    <t xml:space="preserve">Rejected</t>
  </si>
  <si>
    <t xml:space="preserve">WHERE THE AGENT GOES WRONG</t>
  </si>
  <si>
    <t xml:space="preserve">Score too high</t>
  </si>
  <si>
    <t xml:space="preserve">Score too low</t>
  </si>
  <si>
    <t xml:space="preserve">Wrongly filtered</t>
  </si>
  <si>
    <t xml:space="preserve">Should have been filtered</t>
  </si>
  <si>
    <t xml:space="preserve">Location mismatch</t>
  </si>
  <si>
    <t xml:space="preserve">TEST CASES</t>
  </si>
  <si>
    <t xml:space="preserve">Needs your call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</si>
</sst>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1E3A8A"/>
      <name val="Arial"/>
      <family val="0"/>
      <charset val="1"/>
    </font>
    <font>
      <sz val="10"/>
      <color rgb="FF111827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2"/>
    </font>
    <font>
      <i val="true"/>
      <sz val="9"/>
      <color rgb="FF6B7280"/>
      <name val="Arial"/>
      <family val="0"/>
      <charset val="1"/>
    </font>
    <font>
      <b val="true"/>
      <sz val="10"/>
      <color rgb="FF1E3A8A"/>
      <name val="Arial"/>
      <family val="0"/>
      <charset val="1"/>
    </font>
    <font>
      <b val="true"/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  <fill>
      <patternFill patternType="solid">
        <fgColor rgb="FFB45309"/>
        <bgColor rgb="FF993366"/>
      </patternFill>
    </fill>
    <fill>
      <patternFill patternType="solid">
        <fgColor rgb="FFFFF7E0"/>
        <bgColor rgb="FFFEF3C7"/>
      </patternFill>
    </fill>
    <fill>
      <patternFill patternType="solid">
        <fgColor rgb="FFDCFCE7"/>
        <bgColor rgb="FFCCFFCC"/>
      </patternFill>
    </fill>
    <fill>
      <patternFill patternType="solid">
        <fgColor rgb="FFFEF3C7"/>
        <bgColor rgb="FFFFF7E0"/>
      </patternFill>
    </fill>
    <fill>
      <patternFill patternType="solid">
        <fgColor rgb="FFF3F4F6"/>
        <bgColor rgb="FFFFF7E0"/>
      </patternFill>
    </fill>
    <fill>
      <patternFill patternType="solid">
        <fgColor rgb="FFFEE2E2"/>
        <bgColor rgb="FFFEF3C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E3A8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45309"/>
          <bgColor rgb="FF000000"/>
        </patternFill>
      </fill>
    </dxf>
    <dxf>
      <fill>
        <patternFill patternType="solid">
          <fgColor rgb="FFFFF7E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E0"/>
      <rgbColor rgb="FFDCFCE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CCFFCC"/>
      <rgbColor rgb="FFFEF3C7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111827"/>
      <rgbColor rgb="FF333300"/>
      <rgbColor rgb="FFB45309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0"/>
  </cols>
  <sheetData>
    <row r="1" customFormat="false" ht="15" hidden="false" customHeight="true" outlineLevel="0" collapsed="false">
      <c r="A1" s="2" t="s">
        <v>0</v>
      </c>
    </row>
    <row r="2" customFormat="false" ht="23.25" hidden="false" customHeight="true" outlineLevel="0" collapsed="false">
      <c r="A2" s="3" t="s">
        <v>1</v>
      </c>
    </row>
    <row r="3" customFormat="false" ht="15" hidden="false" customHeight="true" outlineLevel="0" collapsed="false">
      <c r="A3" s="3" t="s">
        <v>2</v>
      </c>
    </row>
    <row r="4" customFormat="false" ht="15" hidden="false" customHeight="true" outlineLevel="0" collapsed="false">
      <c r="A4" s="3"/>
    </row>
    <row r="5" customFormat="false" ht="15" hidden="false" customHeight="true" outlineLevel="0" collapsed="false">
      <c r="A5" s="2" t="s">
        <v>3</v>
      </c>
    </row>
    <row r="6" customFormat="false" ht="15" hidden="false" customHeight="true" outlineLevel="0" collapsed="false">
      <c r="A6" s="3" t="s">
        <v>4</v>
      </c>
    </row>
    <row r="7" customFormat="false" ht="15" hidden="false" customHeight="true" outlineLevel="0" collapsed="false">
      <c r="A7" s="3" t="s">
        <v>5</v>
      </c>
    </row>
    <row r="8" customFormat="false" ht="15" hidden="false" customHeight="true" outlineLevel="0" collapsed="false">
      <c r="A8" s="3" t="s">
        <v>6</v>
      </c>
    </row>
    <row r="9" customFormat="false" ht="15" hidden="false" customHeight="true" outlineLevel="0" collapsed="false">
      <c r="A9" s="3"/>
    </row>
    <row r="10" customFormat="false" ht="15" hidden="false" customHeight="true" outlineLevel="0" collapsed="false">
      <c r="A10" s="2" t="s">
        <v>7</v>
      </c>
    </row>
    <row r="11" customFormat="false" ht="34.5" hidden="false" customHeight="true" outlineLevel="0" collapsed="false">
      <c r="A11" s="3" t="s">
        <v>8</v>
      </c>
    </row>
    <row r="12" customFormat="false" ht="15" hidden="false" customHeight="true" outlineLevel="0" collapsed="false">
      <c r="A12" s="3"/>
    </row>
    <row r="13" customFormat="false" ht="15" hidden="false" customHeight="true" outlineLevel="0" collapsed="false">
      <c r="A13" s="2" t="s">
        <v>9</v>
      </c>
    </row>
    <row r="14" customFormat="false" ht="23.25" hidden="false" customHeight="true" outlineLevel="0" collapsed="false">
      <c r="A14" s="3" t="s">
        <v>10</v>
      </c>
    </row>
    <row r="16" customFormat="false" ht="15" hidden="false" customHeight="true" outlineLevel="0" collapsed="false">
      <c r="A16" s="4" t="s">
        <v>11</v>
      </c>
    </row>
    <row r="17" customFormat="false" ht="23.25" hidden="false" customHeight="true" outlineLevel="0" collapsed="false">
      <c r="A17" s="5" t="s">
        <v>12</v>
      </c>
    </row>
    <row r="19" customFormat="false" ht="15" hidden="false" customHeight="true" outlineLevel="0" collapsed="false">
      <c r="A19" s="4" t="s">
        <v>13</v>
      </c>
    </row>
    <row r="20" customFormat="false" ht="15" hidden="false" customHeight="true" outlineLevel="0" collapsed="false">
      <c r="A20" s="6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0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22"/>
    <col collapsed="false" customWidth="true" hidden="false" outlineLevel="0" max="3" min="3" style="1" width="34"/>
    <col collapsed="false" customWidth="true" hidden="false" outlineLevel="0" max="4" min="4" style="1" width="16"/>
    <col collapsed="false" customWidth="true" hidden="false" outlineLevel="0" max="5" min="5" style="1" width="12"/>
    <col collapsed="false" customWidth="true" hidden="false" outlineLevel="0" max="6" min="6" style="1" width="7"/>
    <col collapsed="false" customWidth="true" hidden="false" outlineLevel="0" max="7" min="7" style="1" width="40"/>
    <col collapsed="false" customWidth="true" hidden="false" outlineLevel="0" max="8" min="8" style="1" width="14"/>
    <col collapsed="false" customWidth="true" hidden="false" outlineLevel="0" max="9" min="9" style="1" width="11"/>
    <col collapsed="false" customWidth="true" hidden="false" outlineLevel="0" max="10" min="10" style="1" width="28"/>
    <col collapsed="false" customWidth="true" hidden="false" outlineLevel="0" max="11" min="11" style="1" width="9"/>
    <col collapsed="false" customWidth="true" hidden="false" outlineLevel="0" max="12" min="12" style="1" width="13"/>
    <col collapsed="false" customWidth="true" hidden="false" outlineLevel="0" max="13" min="13" style="1" width="20"/>
    <col collapsed="false" customWidth="true" hidden="false" outlineLevel="0" max="14" min="14" style="1" width="9"/>
    <col collapsed="false" customWidth="true" hidden="false" outlineLevel="0" max="17" min="15" style="1" width="12"/>
    <col collapsed="false" customWidth="true" hidden="false" outlineLevel="0" max="18" min="18" style="1" width="34"/>
    <col collapsed="false" customWidth="true" hidden="false" outlineLevel="0" max="19" min="19" style="1" width="40"/>
  </cols>
  <sheetData>
    <row r="1" customFormat="false" ht="30" hidden="false" customHeight="true" outlineLevel="0" collapsed="false">
      <c r="A1" s="7" t="s">
        <v>15</v>
      </c>
      <c r="B1" s="7" t="s">
        <v>16</v>
      </c>
      <c r="C1" s="7" t="s">
        <v>17</v>
      </c>
      <c r="D1" s="7" t="s">
        <v>18</v>
      </c>
      <c r="E1" s="7" t="s">
        <v>19</v>
      </c>
      <c r="F1" s="7" t="s">
        <v>20</v>
      </c>
      <c r="G1" s="7" t="s">
        <v>21</v>
      </c>
      <c r="H1" s="7" t="s">
        <v>22</v>
      </c>
      <c r="I1" s="7" t="s">
        <v>23</v>
      </c>
      <c r="J1" s="7" t="s">
        <v>24</v>
      </c>
      <c r="K1" s="7" t="s">
        <v>25</v>
      </c>
      <c r="L1" s="8" t="s">
        <v>26</v>
      </c>
      <c r="M1" s="8" t="s">
        <v>27</v>
      </c>
      <c r="N1" s="8" t="s">
        <v>28</v>
      </c>
      <c r="O1" s="8" t="s">
        <v>29</v>
      </c>
      <c r="P1" s="8" t="s">
        <v>30</v>
      </c>
      <c r="Q1" s="8" t="s">
        <v>31</v>
      </c>
      <c r="R1" s="8" t="s">
        <v>32</v>
      </c>
      <c r="S1" s="8" t="s">
        <v>33</v>
      </c>
    </row>
    <row r="2" customFormat="false" ht="15" hidden="false" customHeight="true" outlineLevel="0" collapsed="false">
      <c r="A2" s="9"/>
      <c r="B2" s="9" t="s">
        <v>34</v>
      </c>
      <c r="C2" s="9" t="s">
        <v>35</v>
      </c>
      <c r="D2" s="9" t="s">
        <v>36</v>
      </c>
      <c r="E2" s="9" t="s">
        <v>37</v>
      </c>
      <c r="F2" s="9"/>
      <c r="G2" s="9"/>
      <c r="H2" s="9"/>
      <c r="I2" s="9"/>
      <c r="J2" s="9"/>
      <c r="K2" s="9" t="s">
        <v>38</v>
      </c>
      <c r="L2" s="10" t="s">
        <v>39</v>
      </c>
      <c r="M2" s="10" t="s">
        <v>40</v>
      </c>
      <c r="N2" s="10" t="s">
        <v>38</v>
      </c>
      <c r="O2" s="11" t="n">
        <v>46290</v>
      </c>
      <c r="P2" s="10" t="s">
        <v>41</v>
      </c>
      <c r="Q2" s="11"/>
      <c r="R2" s="10" t="s">
        <v>42</v>
      </c>
      <c r="S2" s="10" t="s">
        <v>43</v>
      </c>
    </row>
    <row r="3" customFormat="false" ht="15" hidden="false" customHeight="true" outlineLevel="0" collapsed="false">
      <c r="A3" s="12" t="n">
        <v>46290</v>
      </c>
      <c r="B3" s="9" t="s">
        <v>44</v>
      </c>
      <c r="C3" s="9" t="s">
        <v>45</v>
      </c>
      <c r="D3" s="9"/>
      <c r="E3" s="9" t="s">
        <v>46</v>
      </c>
      <c r="F3" s="9" t="n">
        <v>95</v>
      </c>
      <c r="G3" s="9"/>
      <c r="H3" s="9"/>
      <c r="I3" s="9" t="s">
        <v>47</v>
      </c>
      <c r="J3" s="9"/>
      <c r="K3" s="9" t="s">
        <v>38</v>
      </c>
      <c r="L3" s="10" t="s">
        <v>39</v>
      </c>
      <c r="M3" s="10" t="s">
        <v>40</v>
      </c>
      <c r="N3" s="10" t="s">
        <v>38</v>
      </c>
      <c r="O3" s="11" t="n">
        <v>46290</v>
      </c>
      <c r="P3" s="10" t="s">
        <v>41</v>
      </c>
      <c r="Q3" s="11"/>
      <c r="R3" s="10"/>
      <c r="S3" s="10" t="s">
        <v>48</v>
      </c>
    </row>
    <row r="4" customFormat="false" ht="15" hidden="false" customHeight="true" outlineLevel="0" collapsed="false">
      <c r="A4" s="12" t="n">
        <v>46290</v>
      </c>
      <c r="B4" s="9" t="s">
        <v>49</v>
      </c>
      <c r="C4" s="9" t="s">
        <v>50</v>
      </c>
      <c r="D4" s="9"/>
      <c r="E4" s="9" t="s">
        <v>46</v>
      </c>
      <c r="F4" s="9" t="n">
        <v>90</v>
      </c>
      <c r="G4" s="9"/>
      <c r="H4" s="9"/>
      <c r="I4" s="9" t="s">
        <v>47</v>
      </c>
      <c r="J4" s="9"/>
      <c r="K4" s="9" t="s">
        <v>38</v>
      </c>
      <c r="L4" s="10" t="s">
        <v>39</v>
      </c>
      <c r="M4" s="10" t="s">
        <v>40</v>
      </c>
      <c r="N4" s="10" t="s">
        <v>38</v>
      </c>
      <c r="O4" s="11" t="n">
        <v>46290</v>
      </c>
      <c r="P4" s="10" t="s">
        <v>51</v>
      </c>
      <c r="Q4" s="11" t="n">
        <v>46290</v>
      </c>
      <c r="R4" s="10"/>
      <c r="S4" s="10" t="s">
        <v>52</v>
      </c>
    </row>
    <row r="5" customFormat="false" ht="15" hidden="false" customHeight="true" outlineLevel="0" collapsed="false">
      <c r="A5" s="12" t="n">
        <v>46290</v>
      </c>
      <c r="B5" s="9" t="s">
        <v>53</v>
      </c>
      <c r="C5" s="9" t="s">
        <v>54</v>
      </c>
      <c r="D5" s="9" t="s">
        <v>36</v>
      </c>
      <c r="E5" s="9" t="s">
        <v>46</v>
      </c>
      <c r="F5" s="9" t="n">
        <v>85</v>
      </c>
      <c r="G5" s="9"/>
      <c r="H5" s="9"/>
      <c r="I5" s="9" t="s">
        <v>47</v>
      </c>
      <c r="J5" s="9"/>
      <c r="K5" s="9" t="s">
        <v>38</v>
      </c>
      <c r="L5" s="10" t="s">
        <v>39</v>
      </c>
      <c r="M5" s="10" t="s">
        <v>55</v>
      </c>
      <c r="N5" s="10" t="s">
        <v>38</v>
      </c>
      <c r="O5" s="11" t="n">
        <v>46290</v>
      </c>
      <c r="P5" s="10" t="s">
        <v>41</v>
      </c>
      <c r="Q5" s="11"/>
      <c r="R5" s="10" t="s">
        <v>56</v>
      </c>
      <c r="S5" s="10" t="s">
        <v>57</v>
      </c>
    </row>
    <row r="6" customFormat="false" ht="15" hidden="false" customHeight="true" outlineLevel="0" collapsed="false">
      <c r="A6" s="12" t="n">
        <v>46290</v>
      </c>
      <c r="B6" s="9" t="s">
        <v>58</v>
      </c>
      <c r="C6" s="9" t="s">
        <v>59</v>
      </c>
      <c r="D6" s="9" t="s">
        <v>60</v>
      </c>
      <c r="E6" s="9" t="s">
        <v>46</v>
      </c>
      <c r="F6" s="9" t="n">
        <v>92</v>
      </c>
      <c r="G6" s="9"/>
      <c r="H6" s="9"/>
      <c r="I6" s="9" t="s">
        <v>47</v>
      </c>
      <c r="J6" s="9"/>
      <c r="K6" s="9" t="s">
        <v>38</v>
      </c>
      <c r="L6" s="10" t="s">
        <v>61</v>
      </c>
      <c r="M6" s="10" t="s">
        <v>62</v>
      </c>
      <c r="N6" s="10"/>
      <c r="O6" s="11"/>
      <c r="P6" s="10"/>
      <c r="Q6" s="11"/>
      <c r="R6" s="10" t="s">
        <v>63</v>
      </c>
      <c r="S6" s="10" t="s">
        <v>64</v>
      </c>
    </row>
    <row r="7" customFormat="false" ht="15" hidden="false" customHeight="true" outlineLevel="0" collapsed="false">
      <c r="A7" s="12" t="n">
        <v>46272</v>
      </c>
      <c r="B7" s="9" t="s">
        <v>65</v>
      </c>
      <c r="C7" s="9" t="s">
        <v>66</v>
      </c>
      <c r="D7" s="9" t="s">
        <v>67</v>
      </c>
      <c r="E7" s="9" t="s">
        <v>46</v>
      </c>
      <c r="F7" s="9" t="n">
        <v>95</v>
      </c>
      <c r="G7" s="9"/>
      <c r="H7" s="9"/>
      <c r="I7" s="9" t="s">
        <v>47</v>
      </c>
      <c r="J7" s="9" t="s">
        <v>68</v>
      </c>
      <c r="K7" s="9" t="s">
        <v>38</v>
      </c>
      <c r="L7" s="10" t="s">
        <v>39</v>
      </c>
      <c r="M7" s="10" t="s">
        <v>40</v>
      </c>
      <c r="N7" s="10" t="s">
        <v>38</v>
      </c>
      <c r="O7" s="11"/>
      <c r="P7" s="10"/>
      <c r="Q7" s="11"/>
      <c r="R7" s="10"/>
      <c r="S7" s="10" t="s">
        <v>69</v>
      </c>
    </row>
    <row r="8" customFormat="false" ht="15" hidden="false" customHeight="true" outlineLevel="0" collapsed="false">
      <c r="A8" s="12" t="n">
        <v>46290</v>
      </c>
      <c r="B8" s="9" t="s">
        <v>34</v>
      </c>
      <c r="C8" s="9" t="s">
        <v>70</v>
      </c>
      <c r="D8" s="9"/>
      <c r="E8" s="9" t="s">
        <v>71</v>
      </c>
      <c r="F8" s="9" t="n">
        <v>80</v>
      </c>
      <c r="G8" s="9"/>
      <c r="H8" s="9"/>
      <c r="I8" s="9" t="s">
        <v>47</v>
      </c>
      <c r="J8" s="9"/>
      <c r="K8" s="9" t="s">
        <v>38</v>
      </c>
      <c r="L8" s="10" t="s">
        <v>39</v>
      </c>
      <c r="M8" s="10"/>
      <c r="N8" s="10" t="s">
        <v>72</v>
      </c>
      <c r="O8" s="11"/>
      <c r="P8" s="10"/>
      <c r="Q8" s="11"/>
      <c r="R8" s="10"/>
      <c r="S8" s="10" t="s">
        <v>73</v>
      </c>
    </row>
    <row r="9" customFormat="false" ht="15" hidden="false" customHeight="true" outlineLevel="0" collapsed="false">
      <c r="A9" s="12" t="n">
        <v>46279</v>
      </c>
      <c r="B9" s="9" t="s">
        <v>74</v>
      </c>
      <c r="C9" s="9" t="s">
        <v>75</v>
      </c>
      <c r="D9" s="9"/>
      <c r="E9" s="9" t="s">
        <v>46</v>
      </c>
      <c r="F9" s="9" t="n">
        <v>96</v>
      </c>
      <c r="G9" s="9"/>
      <c r="H9" s="9"/>
      <c r="I9" s="9" t="s">
        <v>47</v>
      </c>
      <c r="J9" s="9"/>
      <c r="K9" s="9" t="s">
        <v>38</v>
      </c>
      <c r="L9" s="10"/>
      <c r="M9" s="10"/>
      <c r="N9" s="10"/>
      <c r="O9" s="11"/>
      <c r="P9" s="10"/>
      <c r="Q9" s="11"/>
      <c r="R9" s="10"/>
      <c r="S9" s="10" t="s">
        <v>76</v>
      </c>
    </row>
    <row r="10" customFormat="false" ht="15" hidden="false" customHeight="true" outlineLevel="0" collapsed="false">
      <c r="A10" s="12" t="n">
        <v>46280</v>
      </c>
      <c r="B10" s="9" t="s">
        <v>77</v>
      </c>
      <c r="C10" s="9" t="s">
        <v>78</v>
      </c>
      <c r="D10" s="9"/>
      <c r="E10" s="9" t="s">
        <v>46</v>
      </c>
      <c r="F10" s="9" t="n">
        <v>88</v>
      </c>
      <c r="G10" s="9"/>
      <c r="H10" s="9"/>
      <c r="I10" s="9" t="s">
        <v>47</v>
      </c>
      <c r="J10" s="9"/>
      <c r="K10" s="9" t="s">
        <v>38</v>
      </c>
      <c r="L10" s="10"/>
      <c r="M10" s="10"/>
      <c r="N10" s="10"/>
      <c r="O10" s="11"/>
      <c r="P10" s="10"/>
      <c r="Q10" s="11"/>
      <c r="R10" s="10"/>
      <c r="S10" s="10"/>
    </row>
    <row r="11" customFormat="false" ht="15" hidden="false" customHeight="true" outlineLevel="0" collapsed="false">
      <c r="A11" s="12" t="n">
        <v>46282</v>
      </c>
      <c r="B11" s="9" t="s">
        <v>79</v>
      </c>
      <c r="C11" s="9" t="s">
        <v>80</v>
      </c>
      <c r="D11" s="9"/>
      <c r="E11" s="9" t="s">
        <v>46</v>
      </c>
      <c r="F11" s="9" t="n">
        <v>95</v>
      </c>
      <c r="G11" s="9"/>
      <c r="H11" s="9"/>
      <c r="I11" s="9" t="s">
        <v>47</v>
      </c>
      <c r="J11" s="9" t="s">
        <v>81</v>
      </c>
      <c r="K11" s="9" t="s">
        <v>38</v>
      </c>
      <c r="L11" s="10"/>
      <c r="M11" s="10"/>
      <c r="N11" s="10"/>
      <c r="O11" s="11"/>
      <c r="P11" s="10"/>
      <c r="Q11" s="11"/>
      <c r="R11" s="10"/>
      <c r="S11" s="10" t="s">
        <v>82</v>
      </c>
    </row>
    <row r="12" customFormat="false" ht="15" hidden="false" customHeight="true" outlineLevel="0" collapsed="false">
      <c r="A12" s="12" t="n">
        <v>46286</v>
      </c>
      <c r="B12" s="9" t="s">
        <v>83</v>
      </c>
      <c r="C12" s="9" t="s">
        <v>84</v>
      </c>
      <c r="D12" s="9"/>
      <c r="E12" s="9" t="s">
        <v>46</v>
      </c>
      <c r="F12" s="9" t="n">
        <v>95</v>
      </c>
      <c r="G12" s="9"/>
      <c r="H12" s="9"/>
      <c r="I12" s="9" t="s">
        <v>47</v>
      </c>
      <c r="J12" s="9"/>
      <c r="K12" s="9" t="s">
        <v>38</v>
      </c>
      <c r="L12" s="10"/>
      <c r="M12" s="10"/>
      <c r="N12" s="10"/>
      <c r="O12" s="11"/>
      <c r="P12" s="10"/>
      <c r="Q12" s="11"/>
      <c r="R12" s="10"/>
      <c r="S12" s="10" t="s">
        <v>85</v>
      </c>
    </row>
    <row r="13" customFormat="false" ht="15" hidden="false" customHeight="true" outlineLevel="0" collapsed="false">
      <c r="A13" s="12" t="n">
        <v>46286</v>
      </c>
      <c r="B13" s="9" t="s">
        <v>83</v>
      </c>
      <c r="C13" s="9" t="s">
        <v>86</v>
      </c>
      <c r="D13" s="9"/>
      <c r="E13" s="9" t="s">
        <v>46</v>
      </c>
      <c r="F13" s="9" t="n">
        <v>95</v>
      </c>
      <c r="G13" s="9"/>
      <c r="H13" s="9"/>
      <c r="I13" s="9" t="s">
        <v>47</v>
      </c>
      <c r="J13" s="9"/>
      <c r="K13" s="9" t="s">
        <v>38</v>
      </c>
      <c r="L13" s="10"/>
      <c r="M13" s="10"/>
      <c r="N13" s="10"/>
      <c r="O13" s="11"/>
      <c r="P13" s="10"/>
      <c r="Q13" s="11"/>
      <c r="R13" s="10"/>
      <c r="S13" s="10" t="s">
        <v>87</v>
      </c>
    </row>
    <row r="14" customFormat="false" ht="15" hidden="false" customHeight="true" outlineLevel="0" collapsed="false">
      <c r="A14" s="12" t="n">
        <v>46286</v>
      </c>
      <c r="B14" s="9" t="s">
        <v>88</v>
      </c>
      <c r="C14" s="9" t="s">
        <v>89</v>
      </c>
      <c r="D14" s="9"/>
      <c r="E14" s="9" t="s">
        <v>46</v>
      </c>
      <c r="F14" s="9" t="n">
        <v>95</v>
      </c>
      <c r="G14" s="9"/>
      <c r="H14" s="9"/>
      <c r="I14" s="9" t="s">
        <v>47</v>
      </c>
      <c r="J14" s="9"/>
      <c r="K14" s="9" t="s">
        <v>38</v>
      </c>
      <c r="L14" s="10"/>
      <c r="M14" s="10"/>
      <c r="N14" s="10"/>
      <c r="O14" s="11"/>
      <c r="P14" s="10"/>
      <c r="Q14" s="11"/>
      <c r="R14" s="10"/>
      <c r="S14" s="10" t="s">
        <v>90</v>
      </c>
    </row>
    <row r="15" customFormat="false" ht="15" hidden="false" customHeight="true" outlineLevel="0" collapsed="false">
      <c r="A15" s="12" t="n">
        <v>46288</v>
      </c>
      <c r="B15" s="9" t="s">
        <v>91</v>
      </c>
      <c r="C15" s="9" t="s">
        <v>92</v>
      </c>
      <c r="D15" s="9"/>
      <c r="E15" s="9" t="s">
        <v>46</v>
      </c>
      <c r="F15" s="9" t="n">
        <v>99</v>
      </c>
      <c r="G15" s="9"/>
      <c r="H15" s="9"/>
      <c r="I15" s="9" t="s">
        <v>47</v>
      </c>
      <c r="J15" s="9"/>
      <c r="K15" s="9" t="s">
        <v>38</v>
      </c>
      <c r="L15" s="10"/>
      <c r="M15" s="10"/>
      <c r="N15" s="10"/>
      <c r="O15" s="11"/>
      <c r="P15" s="10"/>
      <c r="Q15" s="11"/>
      <c r="R15" s="10"/>
      <c r="S15" s="10" t="s">
        <v>93</v>
      </c>
    </row>
    <row r="16" customFormat="false" ht="15" hidden="false" customHeight="true" outlineLevel="0" collapsed="false">
      <c r="A16" s="12" t="n">
        <v>46288</v>
      </c>
      <c r="B16" s="9" t="s">
        <v>94</v>
      </c>
      <c r="C16" s="9" t="s">
        <v>95</v>
      </c>
      <c r="D16" s="9"/>
      <c r="E16" s="9" t="s">
        <v>46</v>
      </c>
      <c r="F16" s="9" t="n">
        <v>98</v>
      </c>
      <c r="G16" s="9"/>
      <c r="H16" s="9"/>
      <c r="I16" s="9" t="s">
        <v>47</v>
      </c>
      <c r="J16" s="9"/>
      <c r="K16" s="9" t="s">
        <v>38</v>
      </c>
      <c r="L16" s="10"/>
      <c r="M16" s="10"/>
      <c r="N16" s="10"/>
      <c r="O16" s="11"/>
      <c r="P16" s="10"/>
      <c r="Q16" s="11"/>
      <c r="R16" s="10"/>
      <c r="S16" s="10"/>
    </row>
    <row r="17" customFormat="false" ht="15" hidden="false" customHeight="true" outlineLevel="0" collapsed="false">
      <c r="A17" s="12" t="n">
        <v>46288</v>
      </c>
      <c r="B17" s="9" t="s">
        <v>96</v>
      </c>
      <c r="C17" s="9" t="s">
        <v>97</v>
      </c>
      <c r="D17" s="9"/>
      <c r="E17" s="9" t="s">
        <v>46</v>
      </c>
      <c r="F17" s="9" t="n">
        <v>97</v>
      </c>
      <c r="G17" s="9"/>
      <c r="H17" s="9"/>
      <c r="I17" s="9" t="s">
        <v>47</v>
      </c>
      <c r="J17" s="9"/>
      <c r="K17" s="9" t="s">
        <v>38</v>
      </c>
      <c r="L17" s="10"/>
      <c r="M17" s="10"/>
      <c r="N17" s="10"/>
      <c r="O17" s="11"/>
      <c r="P17" s="10"/>
      <c r="Q17" s="11"/>
      <c r="R17" s="10"/>
      <c r="S17" s="10" t="s">
        <v>98</v>
      </c>
    </row>
    <row r="18" customFormat="false" ht="15" hidden="false" customHeight="true" outlineLevel="0" collapsed="false">
      <c r="A18" s="12" t="n">
        <v>46288</v>
      </c>
      <c r="B18" s="9" t="s">
        <v>34</v>
      </c>
      <c r="C18" s="9" t="s">
        <v>99</v>
      </c>
      <c r="D18" s="9"/>
      <c r="E18" s="9" t="s">
        <v>46</v>
      </c>
      <c r="F18" s="9" t="n">
        <v>96</v>
      </c>
      <c r="G18" s="9"/>
      <c r="H18" s="9"/>
      <c r="I18" s="9" t="s">
        <v>47</v>
      </c>
      <c r="J18" s="9"/>
      <c r="K18" s="9" t="s">
        <v>38</v>
      </c>
      <c r="L18" s="10"/>
      <c r="M18" s="10"/>
      <c r="N18" s="10"/>
      <c r="O18" s="11"/>
      <c r="P18" s="10"/>
      <c r="Q18" s="11"/>
      <c r="R18" s="10"/>
      <c r="S18" s="10"/>
    </row>
    <row r="19" customFormat="false" ht="15" hidden="false" customHeight="true" outlineLevel="0" collapsed="false">
      <c r="A19" s="12" t="n">
        <v>46288</v>
      </c>
      <c r="B19" s="9" t="s">
        <v>100</v>
      </c>
      <c r="C19" s="9" t="s">
        <v>101</v>
      </c>
      <c r="D19" s="9"/>
      <c r="E19" s="9" t="s">
        <v>46</v>
      </c>
      <c r="F19" s="9" t="n">
        <v>92</v>
      </c>
      <c r="G19" s="9"/>
      <c r="H19" s="9"/>
      <c r="I19" s="9" t="s">
        <v>47</v>
      </c>
      <c r="J19" s="9"/>
      <c r="K19" s="9" t="s">
        <v>38</v>
      </c>
      <c r="L19" s="10"/>
      <c r="M19" s="10"/>
      <c r="N19" s="10"/>
      <c r="O19" s="11"/>
      <c r="P19" s="10"/>
      <c r="Q19" s="11"/>
      <c r="R19" s="10"/>
      <c r="S19" s="10"/>
    </row>
    <row r="20" customFormat="false" ht="15" hidden="false" customHeight="true" outlineLevel="0" collapsed="false">
      <c r="A20" s="12" t="n">
        <v>46288</v>
      </c>
      <c r="B20" s="9" t="s">
        <v>102</v>
      </c>
      <c r="C20" s="9" t="s">
        <v>103</v>
      </c>
      <c r="D20" s="9"/>
      <c r="E20" s="9" t="s">
        <v>104</v>
      </c>
      <c r="F20" s="9"/>
      <c r="G20" s="9" t="s">
        <v>105</v>
      </c>
      <c r="H20" s="9"/>
      <c r="I20" s="9" t="s">
        <v>47</v>
      </c>
      <c r="J20" s="9"/>
      <c r="K20" s="9"/>
      <c r="L20" s="10"/>
      <c r="M20" s="10"/>
      <c r="N20" s="10"/>
      <c r="O20" s="11"/>
      <c r="P20" s="10"/>
      <c r="Q20" s="11"/>
      <c r="R20" s="10"/>
      <c r="S20" s="10"/>
    </row>
    <row r="21" customFormat="false" ht="15" hidden="false" customHeight="true" outlineLevel="0" collapsed="false">
      <c r="A21" s="12" t="n">
        <v>46288</v>
      </c>
      <c r="B21" s="9" t="s">
        <v>106</v>
      </c>
      <c r="C21" s="9" t="s">
        <v>107</v>
      </c>
      <c r="D21" s="9"/>
      <c r="E21" s="9" t="s">
        <v>104</v>
      </c>
      <c r="F21" s="9"/>
      <c r="G21" s="9" t="s">
        <v>108</v>
      </c>
      <c r="H21" s="9"/>
      <c r="I21" s="9" t="s">
        <v>47</v>
      </c>
      <c r="J21" s="9"/>
      <c r="K21" s="9"/>
      <c r="L21" s="10"/>
      <c r="M21" s="10"/>
      <c r="N21" s="10"/>
      <c r="O21" s="11"/>
      <c r="P21" s="10"/>
      <c r="Q21" s="11"/>
      <c r="R21" s="10"/>
      <c r="S21" s="10"/>
    </row>
    <row r="22" customFormat="false" ht="15" hidden="false" customHeight="true" outlineLevel="0" collapsed="false">
      <c r="A22" s="12" t="n">
        <v>46288</v>
      </c>
      <c r="B22" s="9" t="s">
        <v>106</v>
      </c>
      <c r="C22" s="9" t="s">
        <v>109</v>
      </c>
      <c r="D22" s="9"/>
      <c r="E22" s="9" t="s">
        <v>104</v>
      </c>
      <c r="F22" s="9"/>
      <c r="G22" s="9" t="s">
        <v>110</v>
      </c>
      <c r="H22" s="9"/>
      <c r="I22" s="9" t="s">
        <v>47</v>
      </c>
      <c r="J22" s="9"/>
      <c r="K22" s="9"/>
      <c r="L22" s="10"/>
      <c r="M22" s="10"/>
      <c r="N22" s="10"/>
      <c r="O22" s="11"/>
      <c r="P22" s="10"/>
      <c r="Q22" s="11"/>
      <c r="R22" s="10"/>
      <c r="S22" s="10"/>
    </row>
    <row r="23" customFormat="false" ht="15" hidden="false" customHeight="true" outlineLevel="0" collapsed="false">
      <c r="A23" s="12" t="n">
        <v>46288</v>
      </c>
      <c r="B23" s="9" t="s">
        <v>100</v>
      </c>
      <c r="C23" s="9" t="s">
        <v>111</v>
      </c>
      <c r="D23" s="9"/>
      <c r="E23" s="9" t="s">
        <v>104</v>
      </c>
      <c r="F23" s="9"/>
      <c r="G23" s="9" t="s">
        <v>112</v>
      </c>
      <c r="H23" s="9"/>
      <c r="I23" s="9" t="s">
        <v>47</v>
      </c>
      <c r="J23" s="9"/>
      <c r="K23" s="9"/>
      <c r="L23" s="10"/>
      <c r="M23" s="10"/>
      <c r="N23" s="10"/>
      <c r="O23" s="11"/>
      <c r="P23" s="10"/>
      <c r="Q23" s="11"/>
      <c r="R23" s="10"/>
      <c r="S23" s="10"/>
    </row>
    <row r="24" customFormat="false" ht="15" hidden="false" customHeight="true" outlineLevel="0" collapsed="false">
      <c r="A24" s="12" t="n">
        <v>46288</v>
      </c>
      <c r="B24" s="9" t="s">
        <v>100</v>
      </c>
      <c r="C24" s="9" t="s">
        <v>113</v>
      </c>
      <c r="D24" s="9"/>
      <c r="E24" s="9" t="s">
        <v>104</v>
      </c>
      <c r="F24" s="9"/>
      <c r="G24" s="9" t="s">
        <v>114</v>
      </c>
      <c r="H24" s="9"/>
      <c r="I24" s="9" t="s">
        <v>47</v>
      </c>
      <c r="J24" s="9"/>
      <c r="K24" s="9"/>
      <c r="L24" s="10"/>
      <c r="M24" s="10"/>
      <c r="N24" s="10"/>
      <c r="O24" s="11"/>
      <c r="P24" s="10"/>
      <c r="Q24" s="11"/>
      <c r="R24" s="10"/>
      <c r="S24" s="10"/>
    </row>
    <row r="25" customFormat="false" ht="15" hidden="false" customHeight="true" outlineLevel="0" collapsed="false">
      <c r="A25" s="12" t="n">
        <v>46288</v>
      </c>
      <c r="B25" s="9" t="s">
        <v>115</v>
      </c>
      <c r="C25" s="9" t="s">
        <v>116</v>
      </c>
      <c r="D25" s="9"/>
      <c r="E25" s="9" t="s">
        <v>104</v>
      </c>
      <c r="F25" s="9"/>
      <c r="G25" s="9" t="s">
        <v>105</v>
      </c>
      <c r="H25" s="9"/>
      <c r="I25" s="9" t="s">
        <v>47</v>
      </c>
      <c r="J25" s="9"/>
      <c r="K25" s="9"/>
      <c r="L25" s="10"/>
      <c r="M25" s="10"/>
      <c r="N25" s="10"/>
      <c r="O25" s="11"/>
      <c r="P25" s="10"/>
      <c r="Q25" s="11"/>
      <c r="R25" s="10"/>
      <c r="S25" s="10"/>
    </row>
    <row r="26" customFormat="false" ht="15" hidden="false" customHeight="true" outlineLevel="0" collapsed="false">
      <c r="A26" s="12" t="n">
        <v>46288</v>
      </c>
      <c r="B26" s="9" t="s">
        <v>117</v>
      </c>
      <c r="C26" s="9" t="s">
        <v>118</v>
      </c>
      <c r="D26" s="9"/>
      <c r="E26" s="9" t="s">
        <v>104</v>
      </c>
      <c r="F26" s="9"/>
      <c r="G26" s="9" t="s">
        <v>119</v>
      </c>
      <c r="H26" s="9"/>
      <c r="I26" s="9" t="s">
        <v>47</v>
      </c>
      <c r="J26" s="9"/>
      <c r="K26" s="9"/>
      <c r="L26" s="10"/>
      <c r="M26" s="10"/>
      <c r="N26" s="10"/>
      <c r="O26" s="11"/>
      <c r="P26" s="10"/>
      <c r="Q26" s="11"/>
      <c r="R26" s="10"/>
      <c r="S26" s="10" t="s">
        <v>120</v>
      </c>
    </row>
    <row r="27" customFormat="false" ht="15" hidden="false" customHeight="true" outlineLevel="0" collapsed="false">
      <c r="A27" s="12" t="n">
        <v>46288</v>
      </c>
      <c r="B27" s="9" t="s">
        <v>121</v>
      </c>
      <c r="C27" s="9" t="s">
        <v>122</v>
      </c>
      <c r="D27" s="9"/>
      <c r="E27" s="9" t="s">
        <v>104</v>
      </c>
      <c r="F27" s="9"/>
      <c r="G27" s="9" t="s">
        <v>112</v>
      </c>
      <c r="H27" s="9"/>
      <c r="I27" s="9" t="s">
        <v>47</v>
      </c>
      <c r="J27" s="9"/>
      <c r="K27" s="9"/>
      <c r="L27" s="10"/>
      <c r="M27" s="10"/>
      <c r="N27" s="10"/>
      <c r="O27" s="11"/>
      <c r="P27" s="10"/>
      <c r="Q27" s="11"/>
      <c r="R27" s="10"/>
      <c r="S27" s="10"/>
    </row>
    <row r="28" customFormat="false" ht="15" hidden="false" customHeight="true" outlineLevel="0" collapsed="false">
      <c r="A28" s="12" t="n">
        <v>46288</v>
      </c>
      <c r="B28" s="9" t="s">
        <v>117</v>
      </c>
      <c r="C28" s="9" t="s">
        <v>123</v>
      </c>
      <c r="D28" s="9"/>
      <c r="E28" s="9" t="s">
        <v>104</v>
      </c>
      <c r="F28" s="9"/>
      <c r="G28" s="9" t="s">
        <v>124</v>
      </c>
      <c r="H28" s="9"/>
      <c r="I28" s="9" t="s">
        <v>47</v>
      </c>
      <c r="J28" s="9"/>
      <c r="K28" s="9"/>
      <c r="L28" s="10"/>
      <c r="M28" s="10"/>
      <c r="N28" s="10"/>
      <c r="O28" s="11"/>
      <c r="P28" s="10"/>
      <c r="Q28" s="11"/>
      <c r="R28" s="10"/>
      <c r="S28" s="10"/>
    </row>
    <row r="29" customFormat="false" ht="15" hidden="false" customHeight="true" outlineLevel="0" collapsed="false">
      <c r="A29" s="12" t="n">
        <v>46288</v>
      </c>
      <c r="B29" s="9" t="s">
        <v>125</v>
      </c>
      <c r="C29" s="9" t="s">
        <v>126</v>
      </c>
      <c r="D29" s="9"/>
      <c r="E29" s="9" t="s">
        <v>104</v>
      </c>
      <c r="F29" s="9"/>
      <c r="G29" s="9" t="s">
        <v>112</v>
      </c>
      <c r="H29" s="9"/>
      <c r="I29" s="9" t="s">
        <v>47</v>
      </c>
      <c r="J29" s="9"/>
      <c r="K29" s="9"/>
      <c r="L29" s="10"/>
      <c r="M29" s="10"/>
      <c r="N29" s="10"/>
      <c r="O29" s="11"/>
      <c r="P29" s="10"/>
      <c r="Q29" s="11"/>
      <c r="R29" s="10"/>
      <c r="S29" s="10"/>
    </row>
    <row r="30" customFormat="false" ht="15" hidden="false" customHeight="true" outlineLevel="0" collapsed="false">
      <c r="A30" s="12" t="n">
        <v>46288</v>
      </c>
      <c r="B30" s="9" t="s">
        <v>127</v>
      </c>
      <c r="C30" s="9" t="s">
        <v>128</v>
      </c>
      <c r="D30" s="9"/>
      <c r="E30" s="9" t="s">
        <v>104</v>
      </c>
      <c r="F30" s="9"/>
      <c r="G30" s="9" t="s">
        <v>129</v>
      </c>
      <c r="H30" s="9"/>
      <c r="I30" s="9" t="s">
        <v>47</v>
      </c>
      <c r="J30" s="9"/>
      <c r="K30" s="9"/>
      <c r="L30" s="10"/>
      <c r="M30" s="10"/>
      <c r="N30" s="10"/>
      <c r="O30" s="11"/>
      <c r="P30" s="10"/>
      <c r="Q30" s="11"/>
      <c r="R30" s="10"/>
      <c r="S30" s="10"/>
    </row>
    <row r="31" customFormat="false" ht="15" hidden="false" customHeight="true" outlineLevel="0" collapsed="false">
      <c r="A31" s="12" t="n">
        <v>46288</v>
      </c>
      <c r="B31" s="9" t="s">
        <v>125</v>
      </c>
      <c r="C31" s="9" t="s">
        <v>130</v>
      </c>
      <c r="D31" s="9"/>
      <c r="E31" s="9" t="s">
        <v>104</v>
      </c>
      <c r="F31" s="9"/>
      <c r="G31" s="9" t="s">
        <v>124</v>
      </c>
      <c r="H31" s="9"/>
      <c r="I31" s="9" t="s">
        <v>47</v>
      </c>
      <c r="J31" s="9"/>
      <c r="K31" s="9"/>
      <c r="L31" s="10"/>
      <c r="M31" s="10"/>
      <c r="N31" s="10"/>
      <c r="O31" s="11"/>
      <c r="P31" s="10"/>
      <c r="Q31" s="11"/>
      <c r="R31" s="10"/>
      <c r="S31" s="10"/>
    </row>
    <row r="32" customFormat="false" ht="15" hidden="false" customHeight="true" outlineLevel="0" collapsed="false">
      <c r="A32" s="12" t="n">
        <v>46288</v>
      </c>
      <c r="B32" s="9" t="s">
        <v>131</v>
      </c>
      <c r="C32" s="9" t="s">
        <v>132</v>
      </c>
      <c r="D32" s="9"/>
      <c r="E32" s="9" t="s">
        <v>104</v>
      </c>
      <c r="F32" s="9"/>
      <c r="G32" s="9" t="s">
        <v>133</v>
      </c>
      <c r="H32" s="9"/>
      <c r="I32" s="9" t="s">
        <v>47</v>
      </c>
      <c r="J32" s="9"/>
      <c r="K32" s="9"/>
      <c r="L32" s="10"/>
      <c r="M32" s="10"/>
      <c r="N32" s="10"/>
      <c r="O32" s="11"/>
      <c r="P32" s="10"/>
      <c r="Q32" s="11"/>
      <c r="R32" s="10"/>
      <c r="S32" s="10" t="s">
        <v>120</v>
      </c>
    </row>
    <row r="33" customFormat="false" ht="15" hidden="false" customHeight="true" outlineLevel="0" collapsed="false">
      <c r="A33" s="12" t="n">
        <v>46288</v>
      </c>
      <c r="B33" s="9" t="s">
        <v>134</v>
      </c>
      <c r="C33" s="9" t="s">
        <v>135</v>
      </c>
      <c r="D33" s="9"/>
      <c r="E33" s="9" t="s">
        <v>104</v>
      </c>
      <c r="F33" s="9"/>
      <c r="G33" s="9" t="s">
        <v>108</v>
      </c>
      <c r="H33" s="9"/>
      <c r="I33" s="9" t="s">
        <v>47</v>
      </c>
      <c r="J33" s="9"/>
      <c r="K33" s="9"/>
      <c r="L33" s="10"/>
      <c r="M33" s="10"/>
      <c r="N33" s="10"/>
      <c r="O33" s="11"/>
      <c r="P33" s="10"/>
      <c r="Q33" s="11"/>
      <c r="R33" s="10"/>
      <c r="S33" s="10"/>
    </row>
    <row r="34" customFormat="false" ht="15" hidden="false" customHeight="true" outlineLevel="0" collapsed="false">
      <c r="A34" s="12" t="n">
        <v>46288</v>
      </c>
      <c r="B34" s="9" t="s">
        <v>136</v>
      </c>
      <c r="C34" s="9" t="s">
        <v>137</v>
      </c>
      <c r="D34" s="9"/>
      <c r="E34" s="9" t="s">
        <v>104</v>
      </c>
      <c r="F34" s="9"/>
      <c r="G34" s="9" t="s">
        <v>138</v>
      </c>
      <c r="H34" s="9"/>
      <c r="I34" s="9" t="s">
        <v>47</v>
      </c>
      <c r="J34" s="9"/>
      <c r="K34" s="9"/>
      <c r="L34" s="10"/>
      <c r="M34" s="10"/>
      <c r="N34" s="10"/>
      <c r="O34" s="11"/>
      <c r="P34" s="10"/>
      <c r="Q34" s="11"/>
      <c r="R34" s="10"/>
      <c r="S34" s="10"/>
    </row>
    <row r="35" customFormat="false" ht="15" hidden="false" customHeight="true" outlineLevel="0" collapsed="false">
      <c r="A35" s="12" t="n">
        <v>46288</v>
      </c>
      <c r="B35" s="9" t="s">
        <v>139</v>
      </c>
      <c r="C35" s="9" t="s">
        <v>140</v>
      </c>
      <c r="D35" s="9"/>
      <c r="E35" s="9" t="s">
        <v>104</v>
      </c>
      <c r="F35" s="9"/>
      <c r="G35" s="9" t="s">
        <v>108</v>
      </c>
      <c r="H35" s="9"/>
      <c r="I35" s="9" t="s">
        <v>47</v>
      </c>
      <c r="J35" s="9"/>
      <c r="K35" s="9"/>
      <c r="L35" s="10"/>
      <c r="M35" s="10"/>
      <c r="N35" s="10"/>
      <c r="O35" s="11"/>
      <c r="P35" s="10"/>
      <c r="Q35" s="11"/>
      <c r="R35" s="10"/>
      <c r="S35" s="10"/>
    </row>
    <row r="36" customFormat="false" ht="15" hidden="false" customHeight="true" outlineLevel="0" collapsed="false">
      <c r="A36" s="12" t="n">
        <v>46288</v>
      </c>
      <c r="B36" s="9" t="s">
        <v>141</v>
      </c>
      <c r="C36" s="9" t="s">
        <v>142</v>
      </c>
      <c r="D36" s="9"/>
      <c r="E36" s="9" t="s">
        <v>104</v>
      </c>
      <c r="F36" s="9"/>
      <c r="G36" s="9" t="s">
        <v>143</v>
      </c>
      <c r="H36" s="9"/>
      <c r="I36" s="9" t="s">
        <v>47</v>
      </c>
      <c r="J36" s="9"/>
      <c r="K36" s="9"/>
      <c r="L36" s="10"/>
      <c r="M36" s="10"/>
      <c r="N36" s="10"/>
      <c r="O36" s="11"/>
      <c r="P36" s="10"/>
      <c r="Q36" s="11"/>
      <c r="R36" s="10"/>
      <c r="S36" s="10"/>
    </row>
    <row r="37" customFormat="false" ht="15" hidden="false" customHeight="true" outlineLevel="0" collapsed="false">
      <c r="A37" s="12" t="n">
        <v>46288</v>
      </c>
      <c r="B37" s="9" t="s">
        <v>144</v>
      </c>
      <c r="C37" s="9" t="s">
        <v>145</v>
      </c>
      <c r="D37" s="9"/>
      <c r="E37" s="9" t="s">
        <v>104</v>
      </c>
      <c r="F37" s="9"/>
      <c r="G37" s="9" t="s">
        <v>146</v>
      </c>
      <c r="H37" s="9"/>
      <c r="I37" s="9" t="s">
        <v>47</v>
      </c>
      <c r="J37" s="9"/>
      <c r="K37" s="9"/>
      <c r="L37" s="10"/>
      <c r="M37" s="10"/>
      <c r="N37" s="10"/>
      <c r="O37" s="11"/>
      <c r="P37" s="10"/>
      <c r="Q37" s="11"/>
      <c r="R37" s="10"/>
      <c r="S37" s="10"/>
    </row>
    <row r="38" customFormat="false" ht="15" hidden="false" customHeight="true" outlineLevel="0" collapsed="false">
      <c r="A38" s="12" t="n">
        <v>46288</v>
      </c>
      <c r="B38" s="9" t="s">
        <v>147</v>
      </c>
      <c r="C38" s="9" t="s">
        <v>148</v>
      </c>
      <c r="D38" s="9"/>
      <c r="E38" s="9" t="s">
        <v>104</v>
      </c>
      <c r="F38" s="9"/>
      <c r="G38" s="9" t="s">
        <v>149</v>
      </c>
      <c r="H38" s="9"/>
      <c r="I38" s="9" t="s">
        <v>47</v>
      </c>
      <c r="J38" s="9"/>
      <c r="K38" s="9"/>
      <c r="L38" s="10"/>
      <c r="M38" s="10"/>
      <c r="N38" s="10"/>
      <c r="O38" s="11"/>
      <c r="P38" s="10"/>
      <c r="Q38" s="11"/>
      <c r="R38" s="10"/>
      <c r="S38" s="10" t="s">
        <v>120</v>
      </c>
    </row>
    <row r="39" customFormat="false" ht="15" hidden="false" customHeight="true" outlineLevel="0" collapsed="false">
      <c r="A39" s="12" t="n">
        <v>46288</v>
      </c>
      <c r="B39" s="9" t="s">
        <v>150</v>
      </c>
      <c r="C39" s="9" t="s">
        <v>148</v>
      </c>
      <c r="D39" s="9"/>
      <c r="E39" s="9" t="s">
        <v>104</v>
      </c>
      <c r="F39" s="9"/>
      <c r="G39" s="9" t="s">
        <v>112</v>
      </c>
      <c r="H39" s="9"/>
      <c r="I39" s="9" t="s">
        <v>47</v>
      </c>
      <c r="J39" s="9"/>
      <c r="K39" s="9"/>
      <c r="L39" s="10"/>
      <c r="M39" s="10"/>
      <c r="N39" s="10"/>
      <c r="O39" s="11"/>
      <c r="P39" s="10"/>
      <c r="Q39" s="11"/>
      <c r="R39" s="10"/>
      <c r="S39" s="10"/>
    </row>
    <row r="40" customFormat="false" ht="15" hidden="false" customHeight="true" outlineLevel="0" collapsed="false">
      <c r="A40" s="12" t="n">
        <v>46288</v>
      </c>
      <c r="B40" s="9" t="s">
        <v>151</v>
      </c>
      <c r="C40" s="9" t="s">
        <v>152</v>
      </c>
      <c r="D40" s="9"/>
      <c r="E40" s="9" t="s">
        <v>46</v>
      </c>
      <c r="F40" s="9" t="n">
        <v>99</v>
      </c>
      <c r="G40" s="9"/>
      <c r="H40" s="9"/>
      <c r="I40" s="9" t="s">
        <v>47</v>
      </c>
      <c r="J40" s="9"/>
      <c r="K40" s="9" t="s">
        <v>38</v>
      </c>
      <c r="L40" s="10"/>
      <c r="M40" s="10"/>
      <c r="N40" s="10"/>
      <c r="O40" s="11"/>
      <c r="P40" s="10"/>
      <c r="Q40" s="11"/>
      <c r="R40" s="10"/>
      <c r="S40" s="10"/>
    </row>
    <row r="41" customFormat="false" ht="15" hidden="false" customHeight="true" outlineLevel="0" collapsed="false">
      <c r="A41" s="12" t="n">
        <v>46288</v>
      </c>
      <c r="B41" s="9" t="s">
        <v>153</v>
      </c>
      <c r="C41" s="9" t="s">
        <v>154</v>
      </c>
      <c r="D41" s="9"/>
      <c r="E41" s="9" t="s">
        <v>46</v>
      </c>
      <c r="F41" s="9" t="n">
        <v>98</v>
      </c>
      <c r="G41" s="9"/>
      <c r="H41" s="9"/>
      <c r="I41" s="9" t="s">
        <v>47</v>
      </c>
      <c r="J41" s="9"/>
      <c r="K41" s="9" t="s">
        <v>38</v>
      </c>
      <c r="L41" s="10"/>
      <c r="M41" s="10"/>
      <c r="N41" s="10"/>
      <c r="O41" s="11"/>
      <c r="P41" s="10"/>
      <c r="Q41" s="11"/>
      <c r="R41" s="10"/>
      <c r="S41" s="10"/>
    </row>
    <row r="42" customFormat="false" ht="15" hidden="false" customHeight="true" outlineLevel="0" collapsed="false">
      <c r="A42" s="12" t="n">
        <v>46288</v>
      </c>
      <c r="B42" s="9" t="s">
        <v>134</v>
      </c>
      <c r="C42" s="9" t="s">
        <v>155</v>
      </c>
      <c r="D42" s="9"/>
      <c r="E42" s="9" t="s">
        <v>46</v>
      </c>
      <c r="F42" s="9" t="n">
        <v>97</v>
      </c>
      <c r="G42" s="9"/>
      <c r="H42" s="9"/>
      <c r="I42" s="9" t="s">
        <v>47</v>
      </c>
      <c r="J42" s="9"/>
      <c r="K42" s="9" t="s">
        <v>38</v>
      </c>
      <c r="L42" s="10"/>
      <c r="M42" s="10"/>
      <c r="N42" s="10"/>
      <c r="O42" s="11"/>
      <c r="P42" s="10"/>
      <c r="Q42" s="11"/>
      <c r="R42" s="10"/>
      <c r="S42" s="10"/>
    </row>
    <row r="43" customFormat="false" ht="15" hidden="false" customHeight="true" outlineLevel="0" collapsed="false">
      <c r="A43" s="12" t="n">
        <v>46288</v>
      </c>
      <c r="B43" s="9" t="s">
        <v>156</v>
      </c>
      <c r="C43" s="9" t="s">
        <v>157</v>
      </c>
      <c r="D43" s="9"/>
      <c r="E43" s="9" t="s">
        <v>46</v>
      </c>
      <c r="F43" s="9" t="n">
        <v>96</v>
      </c>
      <c r="G43" s="9"/>
      <c r="H43" s="9"/>
      <c r="I43" s="9" t="s">
        <v>47</v>
      </c>
      <c r="J43" s="9"/>
      <c r="K43" s="9" t="s">
        <v>38</v>
      </c>
      <c r="L43" s="10"/>
      <c r="M43" s="10"/>
      <c r="N43" s="10"/>
      <c r="O43" s="11"/>
      <c r="P43" s="10"/>
      <c r="Q43" s="11"/>
      <c r="R43" s="10"/>
      <c r="S43" s="10" t="s">
        <v>158</v>
      </c>
    </row>
    <row r="44" customFormat="false" ht="15" hidden="false" customHeight="true" outlineLevel="0" collapsed="false">
      <c r="A44" s="12" t="n">
        <v>46288</v>
      </c>
      <c r="B44" s="9" t="s">
        <v>159</v>
      </c>
      <c r="C44" s="9" t="s">
        <v>160</v>
      </c>
      <c r="D44" s="9"/>
      <c r="E44" s="9" t="s">
        <v>46</v>
      </c>
      <c r="F44" s="9" t="n">
        <v>94</v>
      </c>
      <c r="G44" s="9"/>
      <c r="H44" s="9"/>
      <c r="I44" s="9" t="s">
        <v>47</v>
      </c>
      <c r="J44" s="9"/>
      <c r="K44" s="9" t="s">
        <v>38</v>
      </c>
      <c r="L44" s="10"/>
      <c r="M44" s="10"/>
      <c r="N44" s="10"/>
      <c r="O44" s="11"/>
      <c r="P44" s="10"/>
      <c r="Q44" s="11"/>
      <c r="R44" s="10"/>
      <c r="S44" s="10" t="s">
        <v>161</v>
      </c>
    </row>
    <row r="45" customFormat="false" ht="15" hidden="false" customHeight="true" outlineLevel="0" collapsed="false">
      <c r="A45" s="12" t="n">
        <v>46288</v>
      </c>
      <c r="B45" s="9" t="s">
        <v>162</v>
      </c>
      <c r="C45" s="9" t="s">
        <v>163</v>
      </c>
      <c r="D45" s="9"/>
      <c r="E45" s="9" t="s">
        <v>46</v>
      </c>
      <c r="F45" s="9" t="n">
        <v>93</v>
      </c>
      <c r="G45" s="9"/>
      <c r="H45" s="9"/>
      <c r="I45" s="9" t="s">
        <v>47</v>
      </c>
      <c r="J45" s="9"/>
      <c r="K45" s="9" t="s">
        <v>38</v>
      </c>
      <c r="L45" s="10"/>
      <c r="M45" s="10"/>
      <c r="N45" s="10"/>
      <c r="O45" s="11"/>
      <c r="P45" s="10"/>
      <c r="Q45" s="11"/>
      <c r="R45" s="10"/>
      <c r="S45" s="10" t="s">
        <v>164</v>
      </c>
    </row>
    <row r="46" customFormat="false" ht="15" hidden="false" customHeight="true" outlineLevel="0" collapsed="false">
      <c r="A46" s="12" t="n">
        <v>46288</v>
      </c>
      <c r="B46" s="9" t="s">
        <v>165</v>
      </c>
      <c r="C46" s="9" t="s">
        <v>166</v>
      </c>
      <c r="D46" s="9"/>
      <c r="E46" s="9" t="s">
        <v>46</v>
      </c>
      <c r="F46" s="9" t="n">
        <v>93</v>
      </c>
      <c r="G46" s="9"/>
      <c r="H46" s="9"/>
      <c r="I46" s="9" t="s">
        <v>47</v>
      </c>
      <c r="J46" s="9"/>
      <c r="K46" s="9" t="s">
        <v>38</v>
      </c>
      <c r="L46" s="10"/>
      <c r="M46" s="10"/>
      <c r="N46" s="10"/>
      <c r="O46" s="11"/>
      <c r="P46" s="10"/>
      <c r="Q46" s="11"/>
      <c r="R46" s="10"/>
      <c r="S46" s="10" t="s">
        <v>167</v>
      </c>
    </row>
    <row r="47" customFormat="false" ht="15" hidden="false" customHeight="true" outlineLevel="0" collapsed="false">
      <c r="A47" s="12" t="n">
        <v>46288</v>
      </c>
      <c r="B47" s="9" t="s">
        <v>165</v>
      </c>
      <c r="C47" s="9" t="s">
        <v>168</v>
      </c>
      <c r="D47" s="9"/>
      <c r="E47" s="9" t="s">
        <v>46</v>
      </c>
      <c r="F47" s="9" t="n">
        <v>92</v>
      </c>
      <c r="G47" s="9"/>
      <c r="H47" s="9"/>
      <c r="I47" s="9" t="s">
        <v>47</v>
      </c>
      <c r="J47" s="9"/>
      <c r="K47" s="9" t="s">
        <v>38</v>
      </c>
      <c r="L47" s="10"/>
      <c r="M47" s="10"/>
      <c r="N47" s="10"/>
      <c r="O47" s="11"/>
      <c r="P47" s="10"/>
      <c r="Q47" s="11"/>
      <c r="R47" s="10"/>
      <c r="S47" s="10"/>
    </row>
    <row r="48" customFormat="false" ht="15" hidden="false" customHeight="true" outlineLevel="0" collapsed="false">
      <c r="A48" s="12" t="n">
        <v>46288</v>
      </c>
      <c r="B48" s="9" t="s">
        <v>169</v>
      </c>
      <c r="C48" s="9" t="s">
        <v>170</v>
      </c>
      <c r="D48" s="9"/>
      <c r="E48" s="9" t="s">
        <v>46</v>
      </c>
      <c r="F48" s="9" t="n">
        <v>91</v>
      </c>
      <c r="G48" s="9"/>
      <c r="H48" s="9"/>
      <c r="I48" s="9" t="s">
        <v>47</v>
      </c>
      <c r="J48" s="9"/>
      <c r="K48" s="9" t="s">
        <v>38</v>
      </c>
      <c r="L48" s="10"/>
      <c r="M48" s="10"/>
      <c r="N48" s="10"/>
      <c r="O48" s="11"/>
      <c r="P48" s="10"/>
      <c r="Q48" s="11"/>
      <c r="R48" s="10"/>
      <c r="S48" s="10" t="s">
        <v>158</v>
      </c>
    </row>
    <row r="49" customFormat="false" ht="15" hidden="false" customHeight="true" outlineLevel="0" collapsed="false">
      <c r="A49" s="12" t="n">
        <v>46288</v>
      </c>
      <c r="B49" s="9" t="s">
        <v>171</v>
      </c>
      <c r="C49" s="9" t="s">
        <v>172</v>
      </c>
      <c r="D49" s="9"/>
      <c r="E49" s="9" t="s">
        <v>46</v>
      </c>
      <c r="F49" s="9" t="n">
        <v>90</v>
      </c>
      <c r="G49" s="9"/>
      <c r="H49" s="9"/>
      <c r="I49" s="9" t="s">
        <v>47</v>
      </c>
      <c r="J49" s="9"/>
      <c r="K49" s="9" t="s">
        <v>38</v>
      </c>
      <c r="L49" s="10"/>
      <c r="M49" s="10"/>
      <c r="N49" s="10"/>
      <c r="O49" s="11"/>
      <c r="P49" s="10"/>
      <c r="Q49" s="11"/>
      <c r="R49" s="10"/>
      <c r="S49" s="10" t="s">
        <v>173</v>
      </c>
    </row>
    <row r="50" customFormat="false" ht="15" hidden="false" customHeight="true" outlineLevel="0" collapsed="false">
      <c r="A50" s="12" t="n">
        <v>46288</v>
      </c>
      <c r="B50" s="9" t="s">
        <v>174</v>
      </c>
      <c r="C50" s="9" t="s">
        <v>175</v>
      </c>
      <c r="D50" s="9"/>
      <c r="E50" s="9" t="s">
        <v>46</v>
      </c>
      <c r="F50" s="9" t="n">
        <v>89</v>
      </c>
      <c r="G50" s="9"/>
      <c r="H50" s="9"/>
      <c r="I50" s="9" t="s">
        <v>47</v>
      </c>
      <c r="J50" s="9"/>
      <c r="K50" s="9" t="s">
        <v>38</v>
      </c>
      <c r="L50" s="10"/>
      <c r="M50" s="10"/>
      <c r="N50" s="10"/>
      <c r="O50" s="11"/>
      <c r="P50" s="10"/>
      <c r="Q50" s="11"/>
      <c r="R50" s="10"/>
      <c r="S50" s="10" t="s">
        <v>176</v>
      </c>
    </row>
    <row r="51" customFormat="false" ht="15" hidden="false" customHeight="true" outlineLevel="0" collapsed="false">
      <c r="A51" s="12" t="n">
        <v>46288</v>
      </c>
      <c r="B51" s="9" t="s">
        <v>177</v>
      </c>
      <c r="C51" s="9" t="s">
        <v>178</v>
      </c>
      <c r="D51" s="9"/>
      <c r="E51" s="9" t="s">
        <v>46</v>
      </c>
      <c r="F51" s="9" t="n">
        <v>88</v>
      </c>
      <c r="G51" s="9"/>
      <c r="H51" s="9"/>
      <c r="I51" s="9" t="s">
        <v>47</v>
      </c>
      <c r="J51" s="9"/>
      <c r="K51" s="9" t="s">
        <v>38</v>
      </c>
      <c r="L51" s="10"/>
      <c r="M51" s="10"/>
      <c r="N51" s="10"/>
      <c r="O51" s="11"/>
      <c r="P51" s="10"/>
      <c r="Q51" s="11"/>
      <c r="R51" s="10"/>
      <c r="S51" s="10" t="s">
        <v>179</v>
      </c>
    </row>
    <row r="52" customFormat="false" ht="15" hidden="false" customHeight="true" outlineLevel="0" collapsed="false">
      <c r="A52" s="12" t="n">
        <v>46288</v>
      </c>
      <c r="B52" s="9" t="s">
        <v>91</v>
      </c>
      <c r="C52" s="9" t="s">
        <v>180</v>
      </c>
      <c r="D52" s="9"/>
      <c r="E52" s="9" t="s">
        <v>104</v>
      </c>
      <c r="F52" s="9"/>
      <c r="G52" s="9" t="s">
        <v>181</v>
      </c>
      <c r="H52" s="9"/>
      <c r="I52" s="9" t="s">
        <v>47</v>
      </c>
      <c r="J52" s="9"/>
      <c r="K52" s="9"/>
      <c r="L52" s="10"/>
      <c r="M52" s="10"/>
      <c r="N52" s="10"/>
      <c r="O52" s="11"/>
      <c r="P52" s="10"/>
      <c r="Q52" s="11"/>
      <c r="R52" s="10"/>
      <c r="S52" s="10" t="s">
        <v>182</v>
      </c>
    </row>
    <row r="53" customFormat="false" ht="15" hidden="false" customHeight="true" outlineLevel="0" collapsed="false">
      <c r="A53" s="12" t="n">
        <v>46288</v>
      </c>
      <c r="B53" s="9" t="s">
        <v>183</v>
      </c>
      <c r="C53" s="9" t="s">
        <v>184</v>
      </c>
      <c r="D53" s="9"/>
      <c r="E53" s="9" t="s">
        <v>104</v>
      </c>
      <c r="F53" s="9"/>
      <c r="G53" s="9" t="s">
        <v>185</v>
      </c>
      <c r="H53" s="9"/>
      <c r="I53" s="9" t="s">
        <v>47</v>
      </c>
      <c r="J53" s="9"/>
      <c r="K53" s="9"/>
      <c r="L53" s="10"/>
      <c r="M53" s="10"/>
      <c r="N53" s="10"/>
      <c r="O53" s="11"/>
      <c r="P53" s="10"/>
      <c r="Q53" s="11"/>
      <c r="R53" s="10"/>
      <c r="S53" s="10" t="s">
        <v>186</v>
      </c>
    </row>
    <row r="54" customFormat="false" ht="15" hidden="false" customHeight="true" outlineLevel="0" collapsed="false">
      <c r="A54" s="12" t="n">
        <v>46288</v>
      </c>
      <c r="B54" s="9" t="s">
        <v>187</v>
      </c>
      <c r="C54" s="9" t="s">
        <v>188</v>
      </c>
      <c r="D54" s="9"/>
      <c r="E54" s="9" t="s">
        <v>104</v>
      </c>
      <c r="F54" s="9"/>
      <c r="G54" s="9" t="s">
        <v>189</v>
      </c>
      <c r="H54" s="9"/>
      <c r="I54" s="9" t="s">
        <v>47</v>
      </c>
      <c r="J54" s="9"/>
      <c r="K54" s="9"/>
      <c r="L54" s="10"/>
      <c r="M54" s="10"/>
      <c r="N54" s="10"/>
      <c r="O54" s="11"/>
      <c r="P54" s="10"/>
      <c r="Q54" s="11"/>
      <c r="R54" s="10"/>
      <c r="S54" s="10" t="s">
        <v>190</v>
      </c>
    </row>
    <row r="55" customFormat="false" ht="15" hidden="false" customHeight="true" outlineLevel="0" collapsed="false">
      <c r="A55" s="12" t="n">
        <v>46288</v>
      </c>
      <c r="B55" s="9" t="s">
        <v>191</v>
      </c>
      <c r="C55" s="9" t="s">
        <v>192</v>
      </c>
      <c r="D55" s="9"/>
      <c r="E55" s="9" t="s">
        <v>104</v>
      </c>
      <c r="F55" s="9"/>
      <c r="G55" s="9" t="s">
        <v>193</v>
      </c>
      <c r="H55" s="9"/>
      <c r="I55" s="9" t="s">
        <v>47</v>
      </c>
      <c r="J55" s="9"/>
      <c r="K55" s="9"/>
      <c r="L55" s="10"/>
      <c r="M55" s="10"/>
      <c r="N55" s="10"/>
      <c r="O55" s="11"/>
      <c r="P55" s="10"/>
      <c r="Q55" s="11"/>
      <c r="R55" s="10"/>
      <c r="S55" s="10"/>
    </row>
    <row r="56" customFormat="false" ht="15" hidden="false" customHeight="true" outlineLevel="0" collapsed="false">
      <c r="A56" s="12" t="n">
        <v>46288</v>
      </c>
      <c r="B56" s="9" t="s">
        <v>194</v>
      </c>
      <c r="C56" s="9" t="s">
        <v>195</v>
      </c>
      <c r="D56" s="9"/>
      <c r="E56" s="9" t="s">
        <v>104</v>
      </c>
      <c r="F56" s="9"/>
      <c r="G56" s="9" t="s">
        <v>196</v>
      </c>
      <c r="H56" s="9"/>
      <c r="I56" s="9" t="s">
        <v>47</v>
      </c>
      <c r="J56" s="9"/>
      <c r="K56" s="9"/>
      <c r="L56" s="10"/>
      <c r="M56" s="10"/>
      <c r="N56" s="10"/>
      <c r="O56" s="11"/>
      <c r="P56" s="10"/>
      <c r="Q56" s="11"/>
      <c r="R56" s="10"/>
      <c r="S56" s="10"/>
    </row>
    <row r="57" customFormat="false" ht="15" hidden="false" customHeight="true" outlineLevel="0" collapsed="false">
      <c r="A57" s="12" t="n">
        <v>46288</v>
      </c>
      <c r="B57" s="9" t="s">
        <v>197</v>
      </c>
      <c r="C57" s="9" t="s">
        <v>198</v>
      </c>
      <c r="D57" s="9"/>
      <c r="E57" s="9" t="s">
        <v>104</v>
      </c>
      <c r="F57" s="9"/>
      <c r="G57" s="9" t="s">
        <v>181</v>
      </c>
      <c r="H57" s="9"/>
      <c r="I57" s="9" t="s">
        <v>47</v>
      </c>
      <c r="J57" s="9"/>
      <c r="K57" s="9"/>
      <c r="L57" s="10"/>
      <c r="M57" s="10"/>
      <c r="N57" s="10"/>
      <c r="O57" s="11"/>
      <c r="P57" s="10"/>
      <c r="Q57" s="11"/>
      <c r="R57" s="10"/>
      <c r="S57" s="10"/>
    </row>
    <row r="58" customFormat="false" ht="15" hidden="false" customHeight="true" outlineLevel="0" collapsed="false">
      <c r="A58" s="12" t="n">
        <v>46288</v>
      </c>
      <c r="B58" s="9" t="s">
        <v>199</v>
      </c>
      <c r="C58" s="9" t="s">
        <v>200</v>
      </c>
      <c r="D58" s="9"/>
      <c r="E58" s="9" t="s">
        <v>104</v>
      </c>
      <c r="F58" s="9"/>
      <c r="G58" s="9" t="s">
        <v>181</v>
      </c>
      <c r="H58" s="9"/>
      <c r="I58" s="9" t="s">
        <v>47</v>
      </c>
      <c r="J58" s="9"/>
      <c r="K58" s="9"/>
      <c r="L58" s="10"/>
      <c r="M58" s="10"/>
      <c r="N58" s="10"/>
      <c r="O58" s="11"/>
      <c r="P58" s="10"/>
      <c r="Q58" s="11"/>
      <c r="R58" s="10"/>
      <c r="S58" s="10"/>
    </row>
    <row r="59" customFormat="false" ht="15" hidden="false" customHeight="true" outlineLevel="0" collapsed="false">
      <c r="A59" s="12" t="n">
        <v>46288</v>
      </c>
      <c r="B59" s="9" t="s">
        <v>187</v>
      </c>
      <c r="C59" s="9" t="s">
        <v>201</v>
      </c>
      <c r="D59" s="9"/>
      <c r="E59" s="9" t="s">
        <v>104</v>
      </c>
      <c r="F59" s="9"/>
      <c r="G59" s="9" t="s">
        <v>202</v>
      </c>
      <c r="H59" s="9"/>
      <c r="I59" s="9" t="s">
        <v>47</v>
      </c>
      <c r="J59" s="9"/>
      <c r="K59" s="9"/>
      <c r="L59" s="10"/>
      <c r="M59" s="10"/>
      <c r="N59" s="10"/>
      <c r="O59" s="11"/>
      <c r="P59" s="10"/>
      <c r="Q59" s="11"/>
      <c r="R59" s="10"/>
      <c r="S59" s="10" t="s">
        <v>203</v>
      </c>
    </row>
    <row r="60" customFormat="false" ht="15" hidden="false" customHeight="true" outlineLevel="0" collapsed="false">
      <c r="A60" s="12" t="n">
        <v>46288</v>
      </c>
      <c r="B60" s="9" t="s">
        <v>204</v>
      </c>
      <c r="C60" s="9" t="s">
        <v>205</v>
      </c>
      <c r="D60" s="9"/>
      <c r="E60" s="9" t="s">
        <v>104</v>
      </c>
      <c r="F60" s="9"/>
      <c r="G60" s="9" t="s">
        <v>181</v>
      </c>
      <c r="H60" s="9"/>
      <c r="I60" s="9" t="s">
        <v>47</v>
      </c>
      <c r="J60" s="9"/>
      <c r="K60" s="9"/>
      <c r="L60" s="10"/>
      <c r="M60" s="10"/>
      <c r="N60" s="10"/>
      <c r="O60" s="11"/>
      <c r="P60" s="10"/>
      <c r="Q60" s="11"/>
      <c r="R60" s="10"/>
      <c r="S60" s="10" t="s">
        <v>206</v>
      </c>
    </row>
    <row r="61" customFormat="false" ht="15" hidden="false" customHeight="true" outlineLevel="0" collapsed="false">
      <c r="A61" s="12" t="n">
        <v>46288</v>
      </c>
      <c r="B61" s="9" t="s">
        <v>34</v>
      </c>
      <c r="C61" s="9" t="s">
        <v>207</v>
      </c>
      <c r="D61" s="9"/>
      <c r="E61" s="9" t="s">
        <v>104</v>
      </c>
      <c r="F61" s="9"/>
      <c r="G61" s="9" t="s">
        <v>208</v>
      </c>
      <c r="H61" s="9"/>
      <c r="I61" s="9" t="s">
        <v>47</v>
      </c>
      <c r="J61" s="9"/>
      <c r="K61" s="9"/>
      <c r="L61" s="10"/>
      <c r="M61" s="10"/>
      <c r="N61" s="10"/>
      <c r="O61" s="11"/>
      <c r="P61" s="10"/>
      <c r="Q61" s="11"/>
      <c r="R61" s="10"/>
      <c r="S61" s="10" t="s">
        <v>209</v>
      </c>
    </row>
    <row r="62" customFormat="false" ht="15" hidden="false" customHeight="true" outlineLevel="0" collapsed="false">
      <c r="A62" s="12" t="n">
        <v>46288</v>
      </c>
      <c r="B62" s="9" t="s">
        <v>210</v>
      </c>
      <c r="C62" s="9" t="s">
        <v>211</v>
      </c>
      <c r="D62" s="9"/>
      <c r="E62" s="9" t="s">
        <v>104</v>
      </c>
      <c r="F62" s="9"/>
      <c r="G62" s="9" t="s">
        <v>193</v>
      </c>
      <c r="H62" s="9"/>
      <c r="I62" s="9" t="s">
        <v>47</v>
      </c>
      <c r="J62" s="9"/>
      <c r="K62" s="9"/>
      <c r="L62" s="10"/>
      <c r="M62" s="10"/>
      <c r="N62" s="10"/>
      <c r="O62" s="11"/>
      <c r="P62" s="10"/>
      <c r="Q62" s="11"/>
      <c r="R62" s="10"/>
      <c r="S62" s="10"/>
    </row>
    <row r="63" customFormat="false" ht="15" hidden="false" customHeight="true" outlineLevel="0" collapsed="false">
      <c r="A63" s="12" t="n">
        <v>46288</v>
      </c>
      <c r="B63" s="9" t="s">
        <v>210</v>
      </c>
      <c r="C63" s="9" t="s">
        <v>212</v>
      </c>
      <c r="D63" s="9"/>
      <c r="E63" s="9" t="s">
        <v>104</v>
      </c>
      <c r="F63" s="9"/>
      <c r="G63" s="9" t="s">
        <v>213</v>
      </c>
      <c r="H63" s="9"/>
      <c r="I63" s="9" t="s">
        <v>47</v>
      </c>
      <c r="J63" s="9"/>
      <c r="K63" s="9"/>
      <c r="L63" s="10"/>
      <c r="M63" s="10"/>
      <c r="N63" s="10"/>
      <c r="O63" s="11"/>
      <c r="P63" s="10"/>
      <c r="Q63" s="11"/>
      <c r="R63" s="10"/>
      <c r="S63" s="10"/>
    </row>
    <row r="64" customFormat="false" ht="15" hidden="false" customHeight="true" outlineLevel="0" collapsed="false">
      <c r="A64" s="12" t="n">
        <v>46288</v>
      </c>
      <c r="B64" s="9" t="s">
        <v>214</v>
      </c>
      <c r="C64" s="9" t="s">
        <v>215</v>
      </c>
      <c r="D64" s="9"/>
      <c r="E64" s="9" t="s">
        <v>104</v>
      </c>
      <c r="F64" s="9"/>
      <c r="G64" s="9" t="s">
        <v>216</v>
      </c>
      <c r="H64" s="9"/>
      <c r="I64" s="9" t="s">
        <v>47</v>
      </c>
      <c r="J64" s="9"/>
      <c r="K64" s="9"/>
      <c r="L64" s="10"/>
      <c r="M64" s="10"/>
      <c r="N64" s="10"/>
      <c r="O64" s="11"/>
      <c r="P64" s="10"/>
      <c r="Q64" s="11"/>
      <c r="R64" s="10"/>
      <c r="S64" s="10"/>
    </row>
    <row r="65" customFormat="false" ht="15" hidden="false" customHeight="true" outlineLevel="0" collapsed="false">
      <c r="A65" s="12" t="n">
        <v>46288</v>
      </c>
      <c r="B65" s="9" t="s">
        <v>141</v>
      </c>
      <c r="C65" s="9" t="s">
        <v>217</v>
      </c>
      <c r="D65" s="9"/>
      <c r="E65" s="9" t="s">
        <v>104</v>
      </c>
      <c r="F65" s="9"/>
      <c r="G65" s="9" t="s">
        <v>218</v>
      </c>
      <c r="H65" s="9"/>
      <c r="I65" s="9" t="s">
        <v>47</v>
      </c>
      <c r="J65" s="9"/>
      <c r="K65" s="9"/>
      <c r="L65" s="10"/>
      <c r="M65" s="10"/>
      <c r="N65" s="10"/>
      <c r="O65" s="11"/>
      <c r="P65" s="10"/>
      <c r="Q65" s="11"/>
      <c r="R65" s="10"/>
      <c r="S65" s="10" t="s">
        <v>182</v>
      </c>
    </row>
    <row r="66" customFormat="false" ht="15" hidden="false" customHeight="true" outlineLevel="0" collapsed="false">
      <c r="A66" s="12" t="n">
        <v>46288</v>
      </c>
      <c r="B66" s="9" t="s">
        <v>219</v>
      </c>
      <c r="C66" s="9" t="s">
        <v>220</v>
      </c>
      <c r="D66" s="9"/>
      <c r="E66" s="9" t="s">
        <v>104</v>
      </c>
      <c r="F66" s="9"/>
      <c r="G66" s="9" t="s">
        <v>185</v>
      </c>
      <c r="H66" s="9"/>
      <c r="I66" s="9" t="s">
        <v>47</v>
      </c>
      <c r="J66" s="9"/>
      <c r="K66" s="9"/>
      <c r="L66" s="10"/>
      <c r="M66" s="10"/>
      <c r="N66" s="10"/>
      <c r="O66" s="11"/>
      <c r="P66" s="10"/>
      <c r="Q66" s="11"/>
      <c r="R66" s="10"/>
      <c r="S66" s="10"/>
    </row>
    <row r="67" customFormat="false" ht="15" hidden="false" customHeight="true" outlineLevel="0" collapsed="false">
      <c r="A67" s="12" t="n">
        <v>46288</v>
      </c>
      <c r="B67" s="9" t="s">
        <v>219</v>
      </c>
      <c r="C67" s="9" t="s">
        <v>221</v>
      </c>
      <c r="D67" s="9"/>
      <c r="E67" s="9" t="s">
        <v>104</v>
      </c>
      <c r="F67" s="9"/>
      <c r="G67" s="9" t="s">
        <v>185</v>
      </c>
      <c r="H67" s="9"/>
      <c r="I67" s="9" t="s">
        <v>47</v>
      </c>
      <c r="J67" s="9"/>
      <c r="K67" s="9"/>
      <c r="L67" s="10"/>
      <c r="M67" s="10"/>
      <c r="N67" s="10"/>
      <c r="O67" s="11"/>
      <c r="P67" s="10"/>
      <c r="Q67" s="11"/>
      <c r="R67" s="10"/>
      <c r="S67" s="10"/>
    </row>
    <row r="68" customFormat="false" ht="15" hidden="false" customHeight="true" outlineLevel="0" collapsed="false">
      <c r="A68" s="12" t="n">
        <v>46288</v>
      </c>
      <c r="B68" s="9" t="s">
        <v>210</v>
      </c>
      <c r="C68" s="9" t="s">
        <v>222</v>
      </c>
      <c r="D68" s="9"/>
      <c r="E68" s="9" t="s">
        <v>104</v>
      </c>
      <c r="F68" s="9"/>
      <c r="G68" s="9" t="s">
        <v>223</v>
      </c>
      <c r="H68" s="9"/>
      <c r="I68" s="9" t="s">
        <v>47</v>
      </c>
      <c r="J68" s="9"/>
      <c r="K68" s="9"/>
      <c r="L68" s="10"/>
      <c r="M68" s="10"/>
      <c r="N68" s="10"/>
      <c r="O68" s="11"/>
      <c r="P68" s="10"/>
      <c r="Q68" s="11"/>
      <c r="R68" s="10"/>
      <c r="S68" s="10"/>
    </row>
    <row r="69" customFormat="false" ht="15" hidden="false" customHeight="true" outlineLevel="0" collapsed="false">
      <c r="A69" s="12" t="n">
        <v>46288</v>
      </c>
      <c r="B69" s="9" t="s">
        <v>224</v>
      </c>
      <c r="C69" s="9" t="s">
        <v>225</v>
      </c>
      <c r="D69" s="9"/>
      <c r="E69" s="9" t="s">
        <v>104</v>
      </c>
      <c r="F69" s="9"/>
      <c r="G69" s="9" t="s">
        <v>193</v>
      </c>
      <c r="H69" s="9"/>
      <c r="I69" s="9" t="s">
        <v>47</v>
      </c>
      <c r="J69" s="9"/>
      <c r="K69" s="9"/>
      <c r="L69" s="10"/>
      <c r="M69" s="10"/>
      <c r="N69" s="10"/>
      <c r="O69" s="11"/>
      <c r="P69" s="10"/>
      <c r="Q69" s="11"/>
      <c r="R69" s="10"/>
      <c r="S69" s="10"/>
    </row>
    <row r="70" customFormat="false" ht="15" hidden="false" customHeight="true" outlineLevel="0" collapsed="false">
      <c r="A70" s="12" t="n">
        <v>46288</v>
      </c>
      <c r="B70" s="9" t="s">
        <v>226</v>
      </c>
      <c r="C70" s="9" t="s">
        <v>227</v>
      </c>
      <c r="D70" s="9"/>
      <c r="E70" s="9" t="s">
        <v>104</v>
      </c>
      <c r="F70" s="9"/>
      <c r="G70" s="9" t="s">
        <v>181</v>
      </c>
      <c r="H70" s="9"/>
      <c r="I70" s="9" t="s">
        <v>47</v>
      </c>
      <c r="J70" s="9"/>
      <c r="K70" s="9"/>
      <c r="L70" s="10"/>
      <c r="M70" s="10"/>
      <c r="N70" s="10"/>
      <c r="O70" s="11"/>
      <c r="P70" s="10"/>
      <c r="Q70" s="11"/>
      <c r="R70" s="10"/>
      <c r="S70" s="10"/>
    </row>
    <row r="71" customFormat="false" ht="15" hidden="false" customHeight="true" outlineLevel="0" collapsed="false">
      <c r="A71" s="12" t="n">
        <v>46290</v>
      </c>
      <c r="B71" s="9" t="s">
        <v>228</v>
      </c>
      <c r="C71" s="9" t="s">
        <v>229</v>
      </c>
      <c r="D71" s="9"/>
      <c r="E71" s="9" t="s">
        <v>46</v>
      </c>
      <c r="F71" s="9" t="n">
        <v>98</v>
      </c>
      <c r="G71" s="9"/>
      <c r="H71" s="9"/>
      <c r="I71" s="9" t="s">
        <v>47</v>
      </c>
      <c r="J71" s="9"/>
      <c r="K71" s="9" t="s">
        <v>38</v>
      </c>
      <c r="L71" s="10"/>
      <c r="M71" s="10"/>
      <c r="N71" s="10"/>
      <c r="O71" s="11"/>
      <c r="P71" s="10"/>
      <c r="Q71" s="11"/>
      <c r="R71" s="10"/>
      <c r="S71" s="10"/>
    </row>
    <row r="72" customFormat="false" ht="15" hidden="false" customHeight="true" outlineLevel="0" collapsed="false">
      <c r="A72" s="12" t="n">
        <v>46290</v>
      </c>
      <c r="B72" s="9" t="s">
        <v>230</v>
      </c>
      <c r="C72" s="9" t="s">
        <v>231</v>
      </c>
      <c r="D72" s="9"/>
      <c r="E72" s="9" t="s">
        <v>46</v>
      </c>
      <c r="F72" s="9" t="n">
        <v>88</v>
      </c>
      <c r="G72" s="9"/>
      <c r="H72" s="9"/>
      <c r="I72" s="9" t="s">
        <v>47</v>
      </c>
      <c r="J72" s="9"/>
      <c r="K72" s="9" t="s">
        <v>38</v>
      </c>
      <c r="L72" s="10"/>
      <c r="M72" s="10"/>
      <c r="N72" s="10"/>
      <c r="O72" s="11"/>
      <c r="P72" s="10"/>
      <c r="Q72" s="11"/>
      <c r="R72" s="10"/>
      <c r="S72" s="10" t="s">
        <v>232</v>
      </c>
    </row>
    <row r="73" customFormat="false" ht="15" hidden="false" customHeight="true" outlineLevel="0" collapsed="false">
      <c r="A73" s="12" t="n">
        <v>46290</v>
      </c>
      <c r="B73" s="9" t="s">
        <v>233</v>
      </c>
      <c r="C73" s="9" t="s">
        <v>234</v>
      </c>
      <c r="D73" s="9"/>
      <c r="E73" s="9" t="s">
        <v>46</v>
      </c>
      <c r="F73" s="9" t="n">
        <v>87</v>
      </c>
      <c r="G73" s="9"/>
      <c r="H73" s="9"/>
      <c r="I73" s="9" t="s">
        <v>47</v>
      </c>
      <c r="J73" s="9"/>
      <c r="K73" s="9" t="s">
        <v>38</v>
      </c>
      <c r="L73" s="10"/>
      <c r="M73" s="10"/>
      <c r="N73" s="10"/>
      <c r="O73" s="11"/>
      <c r="P73" s="10"/>
      <c r="Q73" s="11"/>
      <c r="R73" s="10"/>
      <c r="S73" s="10" t="s">
        <v>235</v>
      </c>
    </row>
    <row r="74" customFormat="false" ht="15" hidden="false" customHeight="true" outlineLevel="0" collapsed="false">
      <c r="A74" s="12" t="n">
        <v>46290</v>
      </c>
      <c r="B74" s="9" t="s">
        <v>236</v>
      </c>
      <c r="C74" s="9" t="s">
        <v>237</v>
      </c>
      <c r="D74" s="9"/>
      <c r="E74" s="9" t="s">
        <v>104</v>
      </c>
      <c r="F74" s="9"/>
      <c r="G74" s="9" t="s">
        <v>213</v>
      </c>
      <c r="H74" s="9"/>
      <c r="I74" s="9" t="s">
        <v>47</v>
      </c>
      <c r="J74" s="9"/>
      <c r="K74" s="9"/>
      <c r="L74" s="10"/>
      <c r="M74" s="10"/>
      <c r="N74" s="10"/>
      <c r="O74" s="11"/>
      <c r="P74" s="10"/>
      <c r="Q74" s="11"/>
      <c r="R74" s="10"/>
      <c r="S74" s="10" t="s">
        <v>238</v>
      </c>
    </row>
    <row r="75" customFormat="false" ht="15" hidden="false" customHeight="true" outlineLevel="0" collapsed="false">
      <c r="A75" s="12" t="n">
        <v>46290</v>
      </c>
      <c r="B75" s="9" t="s">
        <v>239</v>
      </c>
      <c r="C75" s="9" t="s">
        <v>240</v>
      </c>
      <c r="D75" s="9"/>
      <c r="E75" s="9" t="s">
        <v>104</v>
      </c>
      <c r="F75" s="9"/>
      <c r="G75" s="9" t="s">
        <v>196</v>
      </c>
      <c r="H75" s="9"/>
      <c r="I75" s="9" t="s">
        <v>47</v>
      </c>
      <c r="J75" s="9"/>
      <c r="K75" s="9"/>
      <c r="L75" s="10"/>
      <c r="M75" s="10"/>
      <c r="N75" s="10"/>
      <c r="O75" s="11"/>
      <c r="P75" s="10"/>
      <c r="Q75" s="11"/>
      <c r="R75" s="10"/>
      <c r="S75" s="10"/>
    </row>
    <row r="76" customFormat="false" ht="15" hidden="false" customHeight="true" outlineLevel="0" collapsed="false">
      <c r="A76" s="12" t="n">
        <v>46290</v>
      </c>
      <c r="B76" s="9" t="s">
        <v>241</v>
      </c>
      <c r="C76" s="9" t="s">
        <v>242</v>
      </c>
      <c r="D76" s="9"/>
      <c r="E76" s="9" t="s">
        <v>104</v>
      </c>
      <c r="F76" s="9"/>
      <c r="G76" s="9" t="s">
        <v>223</v>
      </c>
      <c r="H76" s="9"/>
      <c r="I76" s="9" t="s">
        <v>47</v>
      </c>
      <c r="J76" s="9"/>
      <c r="K76" s="9"/>
      <c r="L76" s="10"/>
      <c r="M76" s="10"/>
      <c r="N76" s="10"/>
      <c r="O76" s="11"/>
      <c r="P76" s="10"/>
      <c r="Q76" s="11"/>
      <c r="R76" s="10"/>
      <c r="S76" s="10" t="s">
        <v>243</v>
      </c>
    </row>
    <row r="77" customFormat="false" ht="15" hidden="false" customHeight="true" outlineLevel="0" collapsed="false">
      <c r="A77" s="12" t="n">
        <v>46290</v>
      </c>
      <c r="B77" s="9" t="s">
        <v>210</v>
      </c>
      <c r="C77" s="9" t="s">
        <v>244</v>
      </c>
      <c r="D77" s="9"/>
      <c r="E77" s="9" t="s">
        <v>104</v>
      </c>
      <c r="F77" s="9"/>
      <c r="G77" s="9" t="s">
        <v>193</v>
      </c>
      <c r="H77" s="9"/>
      <c r="I77" s="9" t="s">
        <v>47</v>
      </c>
      <c r="J77" s="9"/>
      <c r="K77" s="9"/>
      <c r="L77" s="10"/>
      <c r="M77" s="10"/>
      <c r="N77" s="10"/>
      <c r="O77" s="11"/>
      <c r="P77" s="10"/>
      <c r="Q77" s="11"/>
      <c r="R77" s="10"/>
      <c r="S77" s="10" t="s">
        <v>238</v>
      </c>
    </row>
    <row r="78" customFormat="false" ht="15" hidden="false" customHeight="true" outlineLevel="0" collapsed="false">
      <c r="A78" s="12" t="n">
        <v>46290</v>
      </c>
      <c r="B78" s="9" t="s">
        <v>245</v>
      </c>
      <c r="C78" s="9" t="s">
        <v>246</v>
      </c>
      <c r="D78" s="9"/>
      <c r="E78" s="9" t="s">
        <v>104</v>
      </c>
      <c r="F78" s="9"/>
      <c r="G78" s="9" t="s">
        <v>114</v>
      </c>
      <c r="H78" s="9"/>
      <c r="I78" s="9" t="s">
        <v>47</v>
      </c>
      <c r="J78" s="9"/>
      <c r="K78" s="9"/>
      <c r="L78" s="10"/>
      <c r="M78" s="10"/>
      <c r="N78" s="10"/>
      <c r="O78" s="11"/>
      <c r="P78" s="10"/>
      <c r="Q78" s="11"/>
      <c r="R78" s="10"/>
      <c r="S78" s="10"/>
    </row>
    <row r="79" customFormat="false" ht="15" hidden="false" customHeight="true" outlineLevel="0" collapsed="false">
      <c r="A79" s="12" t="n">
        <v>46290</v>
      </c>
      <c r="B79" s="9" t="s">
        <v>247</v>
      </c>
      <c r="C79" s="9" t="s">
        <v>248</v>
      </c>
      <c r="D79" s="9"/>
      <c r="E79" s="9" t="s">
        <v>104</v>
      </c>
      <c r="F79" s="9"/>
      <c r="G79" s="9" t="s">
        <v>193</v>
      </c>
      <c r="H79" s="9"/>
      <c r="I79" s="9" t="s">
        <v>47</v>
      </c>
      <c r="J79" s="9"/>
      <c r="K79" s="9"/>
      <c r="L79" s="10"/>
      <c r="M79" s="10"/>
      <c r="N79" s="10"/>
      <c r="O79" s="11"/>
      <c r="P79" s="10"/>
      <c r="Q79" s="11"/>
      <c r="R79" s="10"/>
      <c r="S79" s="10"/>
    </row>
    <row r="80" customFormat="false" ht="15" hidden="false" customHeight="true" outlineLevel="0" collapsed="false">
      <c r="A80" s="12" t="n">
        <v>46290</v>
      </c>
      <c r="B80" s="9" t="s">
        <v>249</v>
      </c>
      <c r="C80" s="9" t="s">
        <v>250</v>
      </c>
      <c r="D80" s="9"/>
      <c r="E80" s="9" t="s">
        <v>104</v>
      </c>
      <c r="F80" s="9"/>
      <c r="G80" s="9" t="s">
        <v>185</v>
      </c>
      <c r="H80" s="9"/>
      <c r="I80" s="9" t="s">
        <v>47</v>
      </c>
      <c r="J80" s="9"/>
      <c r="K80" s="9"/>
      <c r="L80" s="10"/>
      <c r="M80" s="10"/>
      <c r="N80" s="10"/>
      <c r="O80" s="11"/>
      <c r="P80" s="10"/>
      <c r="Q80" s="11"/>
      <c r="R80" s="10"/>
      <c r="S80" s="10"/>
    </row>
    <row r="81" customFormat="false" ht="15" hidden="false" customHeight="true" outlineLevel="0" collapsed="false">
      <c r="A81" s="12" t="n">
        <v>46290</v>
      </c>
      <c r="B81" s="9" t="s">
        <v>44</v>
      </c>
      <c r="C81" s="9" t="s">
        <v>251</v>
      </c>
      <c r="D81" s="9"/>
      <c r="E81" s="9" t="s">
        <v>104</v>
      </c>
      <c r="F81" s="9"/>
      <c r="G81" s="9" t="s">
        <v>185</v>
      </c>
      <c r="H81" s="9"/>
      <c r="I81" s="9" t="s">
        <v>47</v>
      </c>
      <c r="J81" s="9"/>
      <c r="K81" s="9"/>
      <c r="L81" s="10"/>
      <c r="M81" s="10"/>
      <c r="N81" s="10"/>
      <c r="O81" s="11"/>
      <c r="P81" s="10"/>
      <c r="Q81" s="11"/>
      <c r="R81" s="10"/>
      <c r="S81" s="10"/>
    </row>
    <row r="82" customFormat="false" ht="15" hidden="false" customHeight="true" outlineLevel="0" collapsed="false">
      <c r="A82" s="12" t="n">
        <v>46290</v>
      </c>
      <c r="B82" s="9" t="s">
        <v>96</v>
      </c>
      <c r="C82" s="9" t="s">
        <v>252</v>
      </c>
      <c r="D82" s="9"/>
      <c r="E82" s="9" t="s">
        <v>104</v>
      </c>
      <c r="F82" s="9"/>
      <c r="G82" s="9" t="s">
        <v>196</v>
      </c>
      <c r="H82" s="9"/>
      <c r="I82" s="9" t="s">
        <v>47</v>
      </c>
      <c r="J82" s="9"/>
      <c r="K82" s="9"/>
      <c r="L82" s="10"/>
      <c r="M82" s="10"/>
      <c r="N82" s="10"/>
      <c r="O82" s="11"/>
      <c r="P82" s="10"/>
      <c r="Q82" s="11"/>
      <c r="R82" s="10"/>
      <c r="S82" s="10"/>
    </row>
    <row r="83" customFormat="false" ht="15" hidden="false" customHeight="true" outlineLevel="0" collapsed="false">
      <c r="A83" s="12" t="n">
        <v>46290</v>
      </c>
      <c r="B83" s="9" t="s">
        <v>253</v>
      </c>
      <c r="C83" s="9" t="s">
        <v>254</v>
      </c>
      <c r="D83" s="9"/>
      <c r="E83" s="9" t="s">
        <v>104</v>
      </c>
      <c r="F83" s="9"/>
      <c r="G83" s="9" t="s">
        <v>193</v>
      </c>
      <c r="H83" s="9"/>
      <c r="I83" s="9" t="s">
        <v>47</v>
      </c>
      <c r="J83" s="9"/>
      <c r="K83" s="9"/>
      <c r="L83" s="10"/>
      <c r="M83" s="10"/>
      <c r="N83" s="10"/>
      <c r="O83" s="11"/>
      <c r="P83" s="10"/>
      <c r="Q83" s="11"/>
      <c r="R83" s="10"/>
      <c r="S83" s="10"/>
    </row>
    <row r="84" customFormat="false" ht="15" hidden="false" customHeight="true" outlineLevel="0" collapsed="false">
      <c r="A84" s="12" t="n">
        <v>46290</v>
      </c>
      <c r="B84" s="9" t="s">
        <v>255</v>
      </c>
      <c r="C84" s="9" t="s">
        <v>256</v>
      </c>
      <c r="D84" s="9"/>
      <c r="E84" s="9" t="s">
        <v>104</v>
      </c>
      <c r="F84" s="9"/>
      <c r="G84" s="9" t="s">
        <v>196</v>
      </c>
      <c r="H84" s="9"/>
      <c r="I84" s="9" t="s">
        <v>47</v>
      </c>
      <c r="J84" s="9"/>
      <c r="K84" s="9"/>
      <c r="L84" s="10"/>
      <c r="M84" s="10"/>
      <c r="N84" s="10"/>
      <c r="O84" s="11"/>
      <c r="P84" s="10"/>
      <c r="Q84" s="11"/>
      <c r="R84" s="10"/>
      <c r="S84" s="10"/>
    </row>
    <row r="85" customFormat="false" ht="15" hidden="false" customHeight="true" outlineLevel="0" collapsed="false">
      <c r="A85" s="12" t="n">
        <v>46290</v>
      </c>
      <c r="B85" s="9" t="s">
        <v>257</v>
      </c>
      <c r="C85" s="9" t="s">
        <v>258</v>
      </c>
      <c r="D85" s="9"/>
      <c r="E85" s="9" t="s">
        <v>104</v>
      </c>
      <c r="F85" s="9"/>
      <c r="G85" s="9" t="s">
        <v>181</v>
      </c>
      <c r="H85" s="9"/>
      <c r="I85" s="9" t="s">
        <v>47</v>
      </c>
      <c r="J85" s="9"/>
      <c r="K85" s="9"/>
      <c r="L85" s="10"/>
      <c r="M85" s="10"/>
      <c r="N85" s="10"/>
      <c r="O85" s="11"/>
      <c r="P85" s="10"/>
      <c r="Q85" s="11"/>
      <c r="R85" s="10"/>
      <c r="S85" s="10"/>
    </row>
    <row r="86" customFormat="false" ht="15" hidden="false" customHeight="true" outlineLevel="0" collapsed="false">
      <c r="A86" s="12" t="n">
        <v>46290</v>
      </c>
      <c r="B86" s="9" t="s">
        <v>259</v>
      </c>
      <c r="C86" s="9" t="s">
        <v>260</v>
      </c>
      <c r="D86" s="9"/>
      <c r="E86" s="9" t="s">
        <v>104</v>
      </c>
      <c r="F86" s="9"/>
      <c r="G86" s="9" t="s">
        <v>261</v>
      </c>
      <c r="H86" s="9"/>
      <c r="I86" s="9" t="s">
        <v>47</v>
      </c>
      <c r="J86" s="9"/>
      <c r="K86" s="9"/>
      <c r="L86" s="10"/>
      <c r="M86" s="10"/>
      <c r="N86" s="10"/>
      <c r="O86" s="11"/>
      <c r="P86" s="10"/>
      <c r="Q86" s="11"/>
      <c r="R86" s="10"/>
      <c r="S86" s="10"/>
    </row>
    <row r="87" customFormat="false" ht="15" hidden="false" customHeight="true" outlineLevel="0" collapsed="false">
      <c r="A87" s="12" t="n">
        <v>46290</v>
      </c>
      <c r="B87" s="9" t="s">
        <v>259</v>
      </c>
      <c r="C87" s="9" t="s">
        <v>262</v>
      </c>
      <c r="D87" s="9"/>
      <c r="E87" s="9" t="s">
        <v>104</v>
      </c>
      <c r="F87" s="9"/>
      <c r="G87" s="9" t="s">
        <v>263</v>
      </c>
      <c r="H87" s="9"/>
      <c r="I87" s="9" t="s">
        <v>47</v>
      </c>
      <c r="J87" s="9"/>
      <c r="K87" s="9"/>
      <c r="L87" s="10"/>
      <c r="M87" s="10"/>
      <c r="N87" s="10"/>
      <c r="O87" s="11"/>
      <c r="P87" s="10"/>
      <c r="Q87" s="11"/>
      <c r="R87" s="10"/>
      <c r="S87" s="10"/>
    </row>
    <row r="88" customFormat="false" ht="15" hidden="false" customHeight="true" outlineLevel="0" collapsed="false">
      <c r="A88" s="12" t="n">
        <v>46290</v>
      </c>
      <c r="B88" s="9" t="s">
        <v>264</v>
      </c>
      <c r="C88" s="9" t="s">
        <v>265</v>
      </c>
      <c r="D88" s="9"/>
      <c r="E88" s="9" t="s">
        <v>104</v>
      </c>
      <c r="F88" s="9"/>
      <c r="G88" s="9" t="s">
        <v>266</v>
      </c>
      <c r="H88" s="9"/>
      <c r="I88" s="9" t="s">
        <v>47</v>
      </c>
      <c r="J88" s="9"/>
      <c r="K88" s="9"/>
      <c r="L88" s="10"/>
      <c r="M88" s="10"/>
      <c r="N88" s="10"/>
      <c r="O88" s="11"/>
      <c r="P88" s="10"/>
      <c r="Q88" s="11"/>
      <c r="R88" s="10"/>
      <c r="S88" s="10"/>
    </row>
    <row r="89" customFormat="false" ht="15" hidden="false" customHeight="true" outlineLevel="0" collapsed="false">
      <c r="A89" s="12" t="n">
        <v>46290</v>
      </c>
      <c r="B89" s="9" t="s">
        <v>115</v>
      </c>
      <c r="C89" s="9" t="s">
        <v>267</v>
      </c>
      <c r="D89" s="9"/>
      <c r="E89" s="9" t="s">
        <v>104</v>
      </c>
      <c r="F89" s="9"/>
      <c r="G89" s="9" t="s">
        <v>193</v>
      </c>
      <c r="H89" s="9"/>
      <c r="I89" s="9" t="s">
        <v>47</v>
      </c>
      <c r="J89" s="9"/>
      <c r="K89" s="9"/>
      <c r="L89" s="10"/>
      <c r="M89" s="10"/>
      <c r="N89" s="10"/>
      <c r="O89" s="11"/>
      <c r="P89" s="10"/>
      <c r="Q89" s="11"/>
      <c r="R89" s="10"/>
      <c r="S89" s="10"/>
    </row>
    <row r="90" customFormat="false" ht="15" hidden="false" customHeight="true" outlineLevel="0" collapsed="false">
      <c r="A90" s="12" t="n">
        <v>46290</v>
      </c>
      <c r="B90" s="9" t="s">
        <v>268</v>
      </c>
      <c r="C90" s="9" t="s">
        <v>269</v>
      </c>
      <c r="D90" s="9"/>
      <c r="E90" s="9" t="s">
        <v>104</v>
      </c>
      <c r="F90" s="9"/>
      <c r="G90" s="9" t="s">
        <v>193</v>
      </c>
      <c r="H90" s="9"/>
      <c r="I90" s="9" t="s">
        <v>47</v>
      </c>
      <c r="J90" s="9"/>
      <c r="K90" s="9"/>
      <c r="L90" s="10"/>
      <c r="M90" s="10"/>
      <c r="N90" s="10"/>
      <c r="O90" s="11"/>
      <c r="P90" s="10"/>
      <c r="Q90" s="11"/>
      <c r="R90" s="10"/>
      <c r="S90" s="10"/>
    </row>
    <row r="91" customFormat="false" ht="15" hidden="false" customHeight="true" outlineLevel="0" collapsed="false">
      <c r="A91" s="12" t="n">
        <v>46290</v>
      </c>
      <c r="B91" s="9" t="s">
        <v>270</v>
      </c>
      <c r="C91" s="9" t="s">
        <v>271</v>
      </c>
      <c r="D91" s="9"/>
      <c r="E91" s="9" t="s">
        <v>104</v>
      </c>
      <c r="F91" s="9"/>
      <c r="G91" s="9" t="s">
        <v>114</v>
      </c>
      <c r="H91" s="9"/>
      <c r="I91" s="9" t="s">
        <v>47</v>
      </c>
      <c r="J91" s="9"/>
      <c r="K91" s="9"/>
      <c r="L91" s="10"/>
      <c r="M91" s="10"/>
      <c r="N91" s="10"/>
      <c r="O91" s="11"/>
      <c r="P91" s="10"/>
      <c r="Q91" s="11"/>
      <c r="R91" s="10"/>
      <c r="S91" s="10"/>
    </row>
    <row r="92" customFormat="false" ht="15" hidden="false" customHeight="true" outlineLevel="0" collapsed="false">
      <c r="A92" s="12" t="n">
        <v>46290</v>
      </c>
      <c r="B92" s="9" t="s">
        <v>270</v>
      </c>
      <c r="C92" s="9" t="s">
        <v>272</v>
      </c>
      <c r="D92" s="9"/>
      <c r="E92" s="9" t="s">
        <v>104</v>
      </c>
      <c r="F92" s="9"/>
      <c r="G92" s="9" t="s">
        <v>273</v>
      </c>
      <c r="H92" s="9"/>
      <c r="I92" s="9" t="s">
        <v>47</v>
      </c>
      <c r="J92" s="9"/>
      <c r="K92" s="9"/>
      <c r="L92" s="10"/>
      <c r="M92" s="10"/>
      <c r="N92" s="10"/>
      <c r="O92" s="11"/>
      <c r="P92" s="10"/>
      <c r="Q92" s="11"/>
      <c r="R92" s="10"/>
      <c r="S92" s="10"/>
    </row>
    <row r="93" customFormat="false" ht="15" hidden="false" customHeight="true" outlineLevel="0" collapsed="false">
      <c r="A93" s="12" t="n">
        <v>46290</v>
      </c>
      <c r="B93" s="9" t="s">
        <v>274</v>
      </c>
      <c r="C93" s="9" t="s">
        <v>275</v>
      </c>
      <c r="D93" s="9"/>
      <c r="E93" s="9" t="s">
        <v>104</v>
      </c>
      <c r="F93" s="9"/>
      <c r="G93" s="9" t="s">
        <v>216</v>
      </c>
      <c r="H93" s="9"/>
      <c r="I93" s="9" t="s">
        <v>47</v>
      </c>
      <c r="J93" s="9"/>
      <c r="K93" s="9"/>
      <c r="L93" s="10"/>
      <c r="M93" s="10"/>
      <c r="N93" s="10"/>
      <c r="O93" s="11"/>
      <c r="P93" s="10"/>
      <c r="Q93" s="11"/>
      <c r="R93" s="10"/>
      <c r="S93" s="10"/>
    </row>
    <row r="94" customFormat="false" ht="15" hidden="false" customHeight="true" outlineLevel="0" collapsed="false">
      <c r="A94" s="12" t="n">
        <v>46290</v>
      </c>
      <c r="B94" s="9" t="s">
        <v>276</v>
      </c>
      <c r="C94" s="9" t="s">
        <v>277</v>
      </c>
      <c r="D94" s="9"/>
      <c r="E94" s="9" t="s">
        <v>104</v>
      </c>
      <c r="F94" s="9"/>
      <c r="G94" s="9" t="s">
        <v>114</v>
      </c>
      <c r="H94" s="9"/>
      <c r="I94" s="9" t="s">
        <v>47</v>
      </c>
      <c r="J94" s="9"/>
      <c r="K94" s="9"/>
      <c r="L94" s="10"/>
      <c r="M94" s="10"/>
      <c r="N94" s="10"/>
      <c r="O94" s="11"/>
      <c r="P94" s="10"/>
      <c r="Q94" s="11"/>
      <c r="R94" s="10"/>
      <c r="S94" s="10"/>
    </row>
    <row r="95" customFormat="false" ht="15" hidden="false" customHeight="true" outlineLevel="0" collapsed="false">
      <c r="A95" s="12" t="n">
        <v>46290</v>
      </c>
      <c r="B95" s="9" t="s">
        <v>278</v>
      </c>
      <c r="C95" s="9" t="s">
        <v>279</v>
      </c>
      <c r="D95" s="9"/>
      <c r="E95" s="9" t="s">
        <v>104</v>
      </c>
      <c r="F95" s="9"/>
      <c r="G95" s="9" t="s">
        <v>280</v>
      </c>
      <c r="H95" s="9"/>
      <c r="I95" s="9" t="s">
        <v>47</v>
      </c>
      <c r="J95" s="9"/>
      <c r="K95" s="9"/>
      <c r="L95" s="10"/>
      <c r="M95" s="10"/>
      <c r="N95" s="10"/>
      <c r="O95" s="11"/>
      <c r="P95" s="10"/>
      <c r="Q95" s="11"/>
      <c r="R95" s="10"/>
      <c r="S95" s="10"/>
    </row>
    <row r="96" customFormat="false" ht="15" hidden="false" customHeight="true" outlineLevel="0" collapsed="false">
      <c r="A96" s="12" t="n">
        <v>46290</v>
      </c>
      <c r="B96" s="9" t="s">
        <v>281</v>
      </c>
      <c r="C96" s="9" t="s">
        <v>282</v>
      </c>
      <c r="D96" s="9"/>
      <c r="E96" s="9" t="s">
        <v>104</v>
      </c>
      <c r="F96" s="9"/>
      <c r="G96" s="9" t="s">
        <v>185</v>
      </c>
      <c r="H96" s="9"/>
      <c r="I96" s="9" t="s">
        <v>47</v>
      </c>
      <c r="J96" s="9"/>
      <c r="K96" s="9"/>
      <c r="L96" s="10"/>
      <c r="M96" s="10"/>
      <c r="N96" s="10"/>
      <c r="O96" s="11"/>
      <c r="P96" s="10"/>
      <c r="Q96" s="11"/>
      <c r="R96" s="10"/>
      <c r="S96" s="10"/>
    </row>
    <row r="97" customFormat="false" ht="15" hidden="false" customHeight="true" outlineLevel="0" collapsed="false">
      <c r="A97" s="12" t="n">
        <v>46290</v>
      </c>
      <c r="B97" s="9" t="s">
        <v>283</v>
      </c>
      <c r="C97" s="9" t="s">
        <v>284</v>
      </c>
      <c r="D97" s="9"/>
      <c r="E97" s="9" t="s">
        <v>104</v>
      </c>
      <c r="F97" s="9"/>
      <c r="G97" s="9" t="s">
        <v>216</v>
      </c>
      <c r="H97" s="9"/>
      <c r="I97" s="9" t="s">
        <v>47</v>
      </c>
      <c r="J97" s="9"/>
      <c r="K97" s="9"/>
      <c r="L97" s="10"/>
      <c r="M97" s="10"/>
      <c r="N97" s="10"/>
      <c r="O97" s="11"/>
      <c r="P97" s="10"/>
      <c r="Q97" s="11"/>
      <c r="R97" s="10"/>
      <c r="S97" s="10"/>
    </row>
    <row r="98" customFormat="false" ht="15" hidden="false" customHeight="true" outlineLevel="0" collapsed="false">
      <c r="A98" s="12" t="n">
        <v>46290</v>
      </c>
      <c r="B98" s="9" t="s">
        <v>285</v>
      </c>
      <c r="C98" s="9" t="s">
        <v>286</v>
      </c>
      <c r="D98" s="9"/>
      <c r="E98" s="9" t="s">
        <v>104</v>
      </c>
      <c r="F98" s="9"/>
      <c r="G98" s="9" t="s">
        <v>216</v>
      </c>
      <c r="H98" s="9"/>
      <c r="I98" s="9" t="s">
        <v>47</v>
      </c>
      <c r="J98" s="9"/>
      <c r="K98" s="9"/>
      <c r="L98" s="10"/>
      <c r="M98" s="10"/>
      <c r="N98" s="10"/>
      <c r="O98" s="11"/>
      <c r="P98" s="10"/>
      <c r="Q98" s="11"/>
      <c r="R98" s="10"/>
      <c r="S98" s="10"/>
    </row>
    <row r="99" customFormat="false" ht="15" hidden="false" customHeight="true" outlineLevel="0" collapsed="false">
      <c r="A99" s="12" t="n">
        <v>46290</v>
      </c>
      <c r="B99" s="9" t="s">
        <v>287</v>
      </c>
      <c r="C99" s="9" t="s">
        <v>288</v>
      </c>
      <c r="D99" s="9"/>
      <c r="E99" s="9" t="s">
        <v>104</v>
      </c>
      <c r="F99" s="9"/>
      <c r="G99" s="9" t="s">
        <v>216</v>
      </c>
      <c r="H99" s="9"/>
      <c r="I99" s="9" t="s">
        <v>47</v>
      </c>
      <c r="J99" s="9"/>
      <c r="K99" s="9"/>
      <c r="L99" s="10"/>
      <c r="M99" s="10"/>
      <c r="N99" s="10"/>
      <c r="O99" s="11"/>
      <c r="P99" s="10"/>
      <c r="Q99" s="11"/>
      <c r="R99" s="10"/>
      <c r="S99" s="10"/>
    </row>
    <row r="100" customFormat="false" ht="15" hidden="false" customHeight="true" outlineLevel="0" collapsed="false">
      <c r="A100" s="12" t="n">
        <v>46290</v>
      </c>
      <c r="B100" s="9" t="s">
        <v>289</v>
      </c>
      <c r="C100" s="9" t="s">
        <v>290</v>
      </c>
      <c r="D100" s="9"/>
      <c r="E100" s="9" t="s">
        <v>104</v>
      </c>
      <c r="F100" s="9"/>
      <c r="G100" s="9" t="s">
        <v>193</v>
      </c>
      <c r="H100" s="9"/>
      <c r="I100" s="9" t="s">
        <v>47</v>
      </c>
      <c r="J100" s="9"/>
      <c r="K100" s="9"/>
      <c r="L100" s="10"/>
      <c r="M100" s="10"/>
      <c r="N100" s="10"/>
      <c r="O100" s="11"/>
      <c r="P100" s="10"/>
      <c r="Q100" s="11"/>
      <c r="R100" s="10"/>
      <c r="S100" s="10"/>
    </row>
    <row r="101" customFormat="false" ht="15" hidden="false" customHeight="true" outlineLevel="0" collapsed="false">
      <c r="A101" s="12" t="n">
        <v>46290</v>
      </c>
      <c r="B101" s="9" t="s">
        <v>141</v>
      </c>
      <c r="C101" s="9" t="s">
        <v>291</v>
      </c>
      <c r="D101" s="9"/>
      <c r="E101" s="9" t="s">
        <v>104</v>
      </c>
      <c r="F101" s="9"/>
      <c r="G101" s="9" t="s">
        <v>185</v>
      </c>
      <c r="H101" s="9"/>
      <c r="I101" s="9" t="s">
        <v>47</v>
      </c>
      <c r="J101" s="9"/>
      <c r="K101" s="9"/>
      <c r="L101" s="10"/>
      <c r="M101" s="10"/>
      <c r="N101" s="10"/>
      <c r="O101" s="11"/>
      <c r="P101" s="10"/>
      <c r="Q101" s="11"/>
      <c r="R101" s="10"/>
      <c r="S101" s="10"/>
    </row>
    <row r="102" customFormat="false" ht="15" hidden="false" customHeight="true" outlineLevel="0" collapsed="false">
      <c r="A102" s="12" t="n">
        <v>46290</v>
      </c>
      <c r="B102" s="9" t="s">
        <v>236</v>
      </c>
      <c r="C102" s="9" t="s">
        <v>292</v>
      </c>
      <c r="D102" s="9"/>
      <c r="E102" s="9" t="s">
        <v>104</v>
      </c>
      <c r="F102" s="9"/>
      <c r="G102" s="9" t="s">
        <v>196</v>
      </c>
      <c r="H102" s="9"/>
      <c r="I102" s="9" t="s">
        <v>47</v>
      </c>
      <c r="J102" s="9"/>
      <c r="K102" s="9"/>
      <c r="L102" s="10"/>
      <c r="M102" s="10"/>
      <c r="N102" s="10"/>
      <c r="O102" s="11"/>
      <c r="P102" s="10"/>
      <c r="Q102" s="11"/>
      <c r="R102" s="10"/>
      <c r="S102" s="10"/>
    </row>
    <row r="103" customFormat="false" ht="15" hidden="false" customHeight="true" outlineLevel="0" collapsed="false">
      <c r="A103" s="12" t="n">
        <v>46290</v>
      </c>
      <c r="B103" s="9" t="s">
        <v>159</v>
      </c>
      <c r="C103" s="9" t="s">
        <v>293</v>
      </c>
      <c r="D103" s="9"/>
      <c r="E103" s="9" t="s">
        <v>104</v>
      </c>
      <c r="F103" s="9"/>
      <c r="G103" s="9" t="s">
        <v>196</v>
      </c>
      <c r="H103" s="9"/>
      <c r="I103" s="9" t="s">
        <v>47</v>
      </c>
      <c r="J103" s="9"/>
      <c r="K103" s="9"/>
      <c r="L103" s="10"/>
      <c r="M103" s="10"/>
      <c r="N103" s="10"/>
      <c r="O103" s="11"/>
      <c r="P103" s="10"/>
      <c r="Q103" s="11"/>
      <c r="R103" s="10"/>
      <c r="S103" s="10"/>
    </row>
    <row r="104" customFormat="false" ht="15" hidden="false" customHeight="true" outlineLevel="0" collapsed="false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10"/>
      <c r="M104" s="10"/>
      <c r="N104" s="10"/>
      <c r="O104" s="11"/>
      <c r="P104" s="10"/>
      <c r="Q104" s="11"/>
      <c r="R104" s="10"/>
      <c r="S104" s="10"/>
    </row>
    <row r="105" customFormat="false" ht="15" hidden="false" customHeight="true" outlineLevel="0" collapsed="false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10"/>
      <c r="M105" s="10"/>
      <c r="N105" s="10"/>
      <c r="O105" s="11"/>
      <c r="P105" s="10"/>
      <c r="Q105" s="11"/>
      <c r="R105" s="10"/>
      <c r="S105" s="10"/>
    </row>
    <row r="106" customFormat="false" ht="15" hidden="false" customHeight="true" outlineLevel="0" collapsed="false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10"/>
      <c r="M106" s="10"/>
      <c r="N106" s="10"/>
      <c r="O106" s="11"/>
      <c r="P106" s="10"/>
      <c r="Q106" s="11"/>
      <c r="R106" s="10"/>
      <c r="S106" s="10"/>
    </row>
    <row r="107" customFormat="false" ht="15" hidden="false" customHeight="true" outlineLevel="0" collapsed="false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10"/>
      <c r="M107" s="10"/>
      <c r="N107" s="10"/>
      <c r="O107" s="11"/>
      <c r="P107" s="10"/>
      <c r="Q107" s="11"/>
      <c r="R107" s="10"/>
      <c r="S107" s="10"/>
    </row>
    <row r="108" customFormat="false" ht="15" hidden="false" customHeight="true" outlineLevel="0" collapsed="false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10"/>
      <c r="M108" s="10"/>
      <c r="N108" s="10"/>
      <c r="O108" s="11"/>
      <c r="P108" s="10"/>
      <c r="Q108" s="11"/>
      <c r="R108" s="10"/>
      <c r="S108" s="10"/>
    </row>
    <row r="109" customFormat="false" ht="15" hidden="false" customHeight="true" outlineLevel="0" collapsed="false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10"/>
      <c r="M109" s="10"/>
      <c r="N109" s="10"/>
      <c r="O109" s="11"/>
      <c r="P109" s="10"/>
      <c r="Q109" s="11"/>
      <c r="R109" s="10"/>
      <c r="S109" s="10"/>
    </row>
    <row r="110" customFormat="false" ht="15" hidden="false" customHeight="true" outlineLevel="0" collapsed="false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10"/>
      <c r="M110" s="10"/>
      <c r="N110" s="10"/>
      <c r="O110" s="11"/>
      <c r="P110" s="10"/>
      <c r="Q110" s="11"/>
      <c r="R110" s="10"/>
      <c r="S110" s="10"/>
    </row>
    <row r="111" customFormat="false" ht="15" hidden="false" customHeight="true" outlineLevel="0" collapsed="false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10"/>
      <c r="M111" s="10"/>
      <c r="N111" s="10"/>
      <c r="O111" s="11"/>
      <c r="P111" s="10"/>
      <c r="Q111" s="11"/>
      <c r="R111" s="10"/>
      <c r="S111" s="10"/>
    </row>
    <row r="112" customFormat="false" ht="15" hidden="false" customHeight="true" outlineLevel="0" collapsed="false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10"/>
      <c r="M112" s="10"/>
      <c r="N112" s="10"/>
      <c r="O112" s="11"/>
      <c r="P112" s="10"/>
      <c r="Q112" s="11"/>
      <c r="R112" s="10"/>
      <c r="S112" s="10"/>
    </row>
    <row r="113" customFormat="false" ht="15" hidden="false" customHeight="true" outlineLevel="0" collapsed="false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10"/>
      <c r="M113" s="10"/>
      <c r="N113" s="10"/>
      <c r="O113" s="11"/>
      <c r="P113" s="10"/>
      <c r="Q113" s="11"/>
      <c r="R113" s="10"/>
      <c r="S113" s="10"/>
    </row>
    <row r="114" customFormat="false" ht="15" hidden="false" customHeight="true" outlineLevel="0" collapsed="false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10"/>
      <c r="M114" s="10"/>
      <c r="N114" s="10"/>
      <c r="O114" s="11"/>
      <c r="P114" s="10"/>
      <c r="Q114" s="11"/>
      <c r="R114" s="10"/>
      <c r="S114" s="10"/>
    </row>
    <row r="115" customFormat="false" ht="15" hidden="false" customHeight="true" outlineLevel="0" collapsed="false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10"/>
      <c r="M115" s="10"/>
      <c r="N115" s="10"/>
      <c r="O115" s="11"/>
      <c r="P115" s="10"/>
      <c r="Q115" s="11"/>
      <c r="R115" s="10"/>
      <c r="S115" s="10"/>
    </row>
    <row r="116" customFormat="false" ht="15" hidden="false" customHeight="true" outlineLevel="0" collapsed="false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10"/>
      <c r="M116" s="10"/>
      <c r="N116" s="10"/>
      <c r="O116" s="11"/>
      <c r="P116" s="10"/>
      <c r="Q116" s="11"/>
      <c r="R116" s="10"/>
      <c r="S116" s="10"/>
    </row>
    <row r="117" customFormat="false" ht="15" hidden="false" customHeight="true" outlineLevel="0" collapsed="false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10"/>
      <c r="M117" s="10"/>
      <c r="N117" s="10"/>
      <c r="O117" s="11"/>
      <c r="P117" s="10"/>
      <c r="Q117" s="11"/>
      <c r="R117" s="10"/>
      <c r="S117" s="10"/>
    </row>
    <row r="118" customFormat="false" ht="15" hidden="false" customHeight="true" outlineLevel="0" collapsed="false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10"/>
      <c r="M118" s="10"/>
      <c r="N118" s="10"/>
      <c r="O118" s="11"/>
      <c r="P118" s="10"/>
      <c r="Q118" s="11"/>
      <c r="R118" s="10"/>
      <c r="S118" s="10"/>
    </row>
    <row r="119" customFormat="false" ht="15" hidden="false" customHeight="true" outlineLevel="0" collapsed="false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10"/>
      <c r="M119" s="10"/>
      <c r="N119" s="10"/>
      <c r="O119" s="11"/>
      <c r="P119" s="10"/>
      <c r="Q119" s="11"/>
      <c r="R119" s="10"/>
      <c r="S119" s="10"/>
    </row>
    <row r="120" customFormat="false" ht="15" hidden="false" customHeight="true" outlineLevel="0" collapsed="false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10"/>
      <c r="M120" s="10"/>
      <c r="N120" s="10"/>
      <c r="O120" s="11"/>
      <c r="P120" s="10"/>
      <c r="Q120" s="11"/>
      <c r="R120" s="10"/>
      <c r="S120" s="10"/>
    </row>
    <row r="121" customFormat="false" ht="15" hidden="false" customHeight="true" outlineLevel="0" collapsed="false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10"/>
      <c r="M121" s="10"/>
      <c r="N121" s="10"/>
      <c r="O121" s="11"/>
      <c r="P121" s="10"/>
      <c r="Q121" s="11"/>
      <c r="R121" s="10"/>
      <c r="S121" s="10"/>
    </row>
    <row r="122" customFormat="false" ht="15" hidden="false" customHeight="true" outlineLevel="0" collapsed="false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10"/>
      <c r="M122" s="10"/>
      <c r="N122" s="10"/>
      <c r="O122" s="11"/>
      <c r="P122" s="10"/>
      <c r="Q122" s="11"/>
      <c r="R122" s="10"/>
      <c r="S122" s="10"/>
    </row>
    <row r="123" customFormat="false" ht="15" hidden="false" customHeight="true" outlineLevel="0" collapsed="false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10"/>
      <c r="M123" s="10"/>
      <c r="N123" s="10"/>
      <c r="O123" s="11"/>
      <c r="P123" s="10"/>
      <c r="Q123" s="11"/>
      <c r="R123" s="10"/>
      <c r="S123" s="10"/>
    </row>
    <row r="124" customFormat="false" ht="15" hidden="false" customHeight="true" outlineLevel="0" collapsed="false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10"/>
      <c r="M124" s="10"/>
      <c r="N124" s="10"/>
      <c r="O124" s="11"/>
      <c r="P124" s="10"/>
      <c r="Q124" s="11"/>
      <c r="R124" s="10"/>
      <c r="S124" s="10"/>
    </row>
    <row r="125" customFormat="false" ht="15" hidden="false" customHeight="true" outlineLevel="0" collapsed="false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10"/>
      <c r="M125" s="10"/>
      <c r="N125" s="10"/>
      <c r="O125" s="11"/>
      <c r="P125" s="10"/>
      <c r="Q125" s="11"/>
      <c r="R125" s="10"/>
      <c r="S125" s="10"/>
    </row>
    <row r="126" customFormat="false" ht="15" hidden="false" customHeight="true" outlineLevel="0" collapsed="false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10"/>
      <c r="M126" s="10"/>
      <c r="N126" s="10"/>
      <c r="O126" s="11"/>
      <c r="P126" s="10"/>
      <c r="Q126" s="11"/>
      <c r="R126" s="10"/>
      <c r="S126" s="10"/>
    </row>
    <row r="127" customFormat="false" ht="15" hidden="false" customHeight="true" outlineLevel="0" collapsed="false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10"/>
      <c r="M127" s="10"/>
      <c r="N127" s="10"/>
      <c r="O127" s="11"/>
      <c r="P127" s="10"/>
      <c r="Q127" s="11"/>
      <c r="R127" s="10"/>
      <c r="S127" s="10"/>
    </row>
    <row r="128" customFormat="false" ht="15" hidden="false" customHeight="true" outlineLevel="0" collapsed="false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10"/>
      <c r="M128" s="10"/>
      <c r="N128" s="10"/>
      <c r="O128" s="11"/>
      <c r="P128" s="10"/>
      <c r="Q128" s="11"/>
      <c r="R128" s="10"/>
      <c r="S128" s="10"/>
    </row>
    <row r="129" customFormat="false" ht="15" hidden="false" customHeight="true" outlineLevel="0" collapsed="false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10"/>
      <c r="M129" s="10"/>
      <c r="N129" s="10"/>
      <c r="O129" s="11"/>
      <c r="P129" s="10"/>
      <c r="Q129" s="11"/>
      <c r="R129" s="10"/>
      <c r="S129" s="10"/>
    </row>
    <row r="130" customFormat="false" ht="15" hidden="false" customHeight="true" outlineLevel="0" collapsed="false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10"/>
      <c r="M130" s="10"/>
      <c r="N130" s="10"/>
      <c r="O130" s="11"/>
      <c r="P130" s="10"/>
      <c r="Q130" s="11"/>
      <c r="R130" s="10"/>
      <c r="S130" s="10"/>
    </row>
    <row r="131" customFormat="false" ht="15" hidden="false" customHeight="true" outlineLevel="0" collapsed="false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10"/>
      <c r="M131" s="10"/>
      <c r="N131" s="10"/>
      <c r="O131" s="11"/>
      <c r="P131" s="10"/>
      <c r="Q131" s="11"/>
      <c r="R131" s="10"/>
      <c r="S131" s="10"/>
    </row>
    <row r="132" customFormat="false" ht="15" hidden="false" customHeight="true" outlineLevel="0" collapsed="false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10"/>
      <c r="M132" s="10"/>
      <c r="N132" s="10"/>
      <c r="O132" s="11"/>
      <c r="P132" s="10"/>
      <c r="Q132" s="11"/>
      <c r="R132" s="10"/>
      <c r="S132" s="10"/>
    </row>
    <row r="133" customFormat="false" ht="15" hidden="false" customHeight="true" outlineLevel="0" collapsed="false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10"/>
      <c r="M133" s="10"/>
      <c r="N133" s="10"/>
      <c r="O133" s="11"/>
      <c r="P133" s="10"/>
      <c r="Q133" s="11"/>
      <c r="R133" s="10"/>
      <c r="S133" s="10"/>
    </row>
    <row r="134" customFormat="false" ht="15" hidden="false" customHeight="true" outlineLevel="0" collapsed="false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10"/>
      <c r="M134" s="10"/>
      <c r="N134" s="10"/>
      <c r="O134" s="11"/>
      <c r="P134" s="10"/>
      <c r="Q134" s="11"/>
      <c r="R134" s="10"/>
      <c r="S134" s="10"/>
    </row>
    <row r="135" customFormat="false" ht="15" hidden="false" customHeight="true" outlineLevel="0" collapsed="false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10"/>
      <c r="M135" s="10"/>
      <c r="N135" s="10"/>
      <c r="O135" s="11"/>
      <c r="P135" s="10"/>
      <c r="Q135" s="11"/>
      <c r="R135" s="10"/>
      <c r="S135" s="10"/>
    </row>
    <row r="136" customFormat="false" ht="15" hidden="false" customHeight="true" outlineLevel="0" collapsed="false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10"/>
      <c r="M136" s="10"/>
      <c r="N136" s="10"/>
      <c r="O136" s="11"/>
      <c r="P136" s="10"/>
      <c r="Q136" s="11"/>
      <c r="R136" s="10"/>
      <c r="S136" s="10"/>
    </row>
    <row r="137" customFormat="false" ht="15" hidden="false" customHeight="true" outlineLevel="0" collapsed="false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10"/>
      <c r="M137" s="10"/>
      <c r="N137" s="10"/>
      <c r="O137" s="11"/>
      <c r="P137" s="10"/>
      <c r="Q137" s="11"/>
      <c r="R137" s="10"/>
      <c r="S137" s="10"/>
    </row>
    <row r="138" customFormat="false" ht="15" hidden="false" customHeight="true" outlineLevel="0" collapsed="false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10"/>
      <c r="M138" s="10"/>
      <c r="N138" s="10"/>
      <c r="O138" s="11"/>
      <c r="P138" s="10"/>
      <c r="Q138" s="11"/>
      <c r="R138" s="10"/>
      <c r="S138" s="10"/>
    </row>
    <row r="139" customFormat="false" ht="15" hidden="false" customHeight="true" outlineLevel="0" collapsed="false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10"/>
      <c r="M139" s="10"/>
      <c r="N139" s="10"/>
      <c r="O139" s="11"/>
      <c r="P139" s="10"/>
      <c r="Q139" s="11"/>
      <c r="R139" s="10"/>
      <c r="S139" s="10"/>
    </row>
    <row r="140" customFormat="false" ht="15" hidden="false" customHeight="true" outlineLevel="0" collapsed="false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10"/>
      <c r="M140" s="10"/>
      <c r="N140" s="10"/>
      <c r="O140" s="11"/>
      <c r="P140" s="10"/>
      <c r="Q140" s="11"/>
      <c r="R140" s="10"/>
      <c r="S140" s="10"/>
    </row>
    <row r="141" customFormat="false" ht="15" hidden="false" customHeight="true" outlineLevel="0" collapsed="false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10"/>
      <c r="M141" s="10"/>
      <c r="N141" s="10"/>
      <c r="O141" s="11"/>
      <c r="P141" s="10"/>
      <c r="Q141" s="11"/>
      <c r="R141" s="10"/>
      <c r="S141" s="10"/>
    </row>
    <row r="142" customFormat="false" ht="15" hidden="false" customHeight="true" outlineLevel="0" collapsed="false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10"/>
      <c r="M142" s="10"/>
      <c r="N142" s="10"/>
      <c r="O142" s="11"/>
      <c r="P142" s="10"/>
      <c r="Q142" s="11"/>
      <c r="R142" s="10"/>
      <c r="S142" s="10"/>
    </row>
    <row r="143" customFormat="false" ht="15" hidden="false" customHeight="true" outlineLevel="0" collapsed="false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10"/>
      <c r="M143" s="10"/>
      <c r="N143" s="10"/>
      <c r="O143" s="11"/>
      <c r="P143" s="10"/>
      <c r="Q143" s="11"/>
      <c r="R143" s="10"/>
      <c r="S143" s="10"/>
    </row>
    <row r="144" customFormat="false" ht="15" hidden="false" customHeight="true" outlineLevel="0" collapsed="false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10"/>
      <c r="M144" s="10"/>
      <c r="N144" s="10"/>
      <c r="O144" s="11"/>
      <c r="P144" s="10"/>
      <c r="Q144" s="11"/>
      <c r="R144" s="10"/>
      <c r="S144" s="10"/>
    </row>
    <row r="145" customFormat="false" ht="15" hidden="false" customHeight="true" outlineLevel="0" collapsed="false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10"/>
      <c r="M145" s="10"/>
      <c r="N145" s="10"/>
      <c r="O145" s="11"/>
      <c r="P145" s="10"/>
      <c r="Q145" s="11"/>
      <c r="R145" s="10"/>
      <c r="S145" s="10"/>
    </row>
    <row r="146" customFormat="false" ht="15" hidden="false" customHeight="true" outlineLevel="0" collapsed="false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10"/>
      <c r="M146" s="10"/>
      <c r="N146" s="10"/>
      <c r="O146" s="11"/>
      <c r="P146" s="10"/>
      <c r="Q146" s="11"/>
      <c r="R146" s="10"/>
      <c r="S146" s="10"/>
    </row>
    <row r="147" customFormat="false" ht="15" hidden="false" customHeight="true" outlineLevel="0" collapsed="false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10"/>
      <c r="M147" s="10"/>
      <c r="N147" s="10"/>
      <c r="O147" s="11"/>
      <c r="P147" s="10"/>
      <c r="Q147" s="11"/>
      <c r="R147" s="10"/>
      <c r="S147" s="10"/>
    </row>
    <row r="148" customFormat="false" ht="15" hidden="false" customHeight="true" outlineLevel="0" collapsed="false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10"/>
      <c r="M148" s="10"/>
      <c r="N148" s="10"/>
      <c r="O148" s="11"/>
      <c r="P148" s="10"/>
      <c r="Q148" s="11"/>
      <c r="R148" s="10"/>
      <c r="S148" s="10"/>
    </row>
    <row r="149" customFormat="false" ht="15" hidden="false" customHeight="true" outlineLevel="0" collapsed="false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10"/>
      <c r="M149" s="10"/>
      <c r="N149" s="10"/>
      <c r="O149" s="11"/>
      <c r="P149" s="10"/>
      <c r="Q149" s="11"/>
      <c r="R149" s="10"/>
      <c r="S149" s="10"/>
    </row>
    <row r="150" customFormat="false" ht="15" hidden="false" customHeight="true" outlineLevel="0" collapsed="false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10"/>
      <c r="M150" s="10"/>
      <c r="N150" s="10"/>
      <c r="O150" s="11"/>
      <c r="P150" s="10"/>
      <c r="Q150" s="11"/>
      <c r="R150" s="10"/>
      <c r="S150" s="10"/>
    </row>
    <row r="151" customFormat="false" ht="15" hidden="false" customHeight="true" outlineLevel="0" collapsed="false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10"/>
      <c r="M151" s="10"/>
      <c r="N151" s="10"/>
      <c r="O151" s="11"/>
      <c r="P151" s="10"/>
      <c r="Q151" s="11"/>
      <c r="R151" s="10"/>
      <c r="S151" s="10"/>
    </row>
    <row r="152" customFormat="false" ht="15" hidden="false" customHeight="true" outlineLevel="0" collapsed="false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10"/>
      <c r="M152" s="10"/>
      <c r="N152" s="10"/>
      <c r="O152" s="11"/>
      <c r="P152" s="10"/>
      <c r="Q152" s="11"/>
      <c r="R152" s="10"/>
      <c r="S152" s="10"/>
    </row>
    <row r="153" customFormat="false" ht="15" hidden="false" customHeight="true" outlineLevel="0" collapsed="false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10"/>
      <c r="M153" s="10"/>
      <c r="N153" s="10"/>
      <c r="O153" s="11"/>
      <c r="P153" s="10"/>
      <c r="Q153" s="11"/>
      <c r="R153" s="10"/>
      <c r="S153" s="10"/>
    </row>
    <row r="154" customFormat="false" ht="15" hidden="false" customHeight="true" outlineLevel="0" collapsed="false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10"/>
      <c r="M154" s="10"/>
      <c r="N154" s="10"/>
      <c r="O154" s="11"/>
      <c r="P154" s="10"/>
      <c r="Q154" s="11"/>
      <c r="R154" s="10"/>
      <c r="S154" s="10"/>
    </row>
    <row r="155" customFormat="false" ht="15" hidden="false" customHeight="true" outlineLevel="0" collapsed="false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10"/>
      <c r="M155" s="10"/>
      <c r="N155" s="10"/>
      <c r="O155" s="11"/>
      <c r="P155" s="10"/>
      <c r="Q155" s="11"/>
      <c r="R155" s="10"/>
      <c r="S155" s="10"/>
    </row>
    <row r="156" customFormat="false" ht="15" hidden="false" customHeight="true" outlineLevel="0" collapsed="false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10"/>
      <c r="M156" s="10"/>
      <c r="N156" s="10"/>
      <c r="O156" s="11"/>
      <c r="P156" s="10"/>
      <c r="Q156" s="11"/>
      <c r="R156" s="10"/>
      <c r="S156" s="10"/>
    </row>
    <row r="157" customFormat="false" ht="15" hidden="false" customHeight="true" outlineLevel="0" collapsed="false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10"/>
      <c r="M157" s="10"/>
      <c r="N157" s="10"/>
      <c r="O157" s="11"/>
      <c r="P157" s="10"/>
      <c r="Q157" s="11"/>
      <c r="R157" s="10"/>
      <c r="S157" s="10"/>
    </row>
    <row r="158" customFormat="false" ht="15" hidden="false" customHeight="true" outlineLevel="0" collapsed="false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10"/>
      <c r="M158" s="10"/>
      <c r="N158" s="10"/>
      <c r="O158" s="11"/>
      <c r="P158" s="10"/>
      <c r="Q158" s="11"/>
      <c r="R158" s="10"/>
      <c r="S158" s="10"/>
    </row>
    <row r="159" customFormat="false" ht="15" hidden="false" customHeight="true" outlineLevel="0" collapsed="false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10"/>
      <c r="M159" s="10"/>
      <c r="N159" s="10"/>
      <c r="O159" s="11"/>
      <c r="P159" s="10"/>
      <c r="Q159" s="11"/>
      <c r="R159" s="10"/>
      <c r="S159" s="10"/>
    </row>
    <row r="160" customFormat="false" ht="15" hidden="false" customHeight="true" outlineLevel="0" collapsed="false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10"/>
      <c r="M160" s="10"/>
      <c r="N160" s="10"/>
      <c r="O160" s="11"/>
      <c r="P160" s="10"/>
      <c r="Q160" s="11"/>
      <c r="R160" s="10"/>
      <c r="S160" s="10"/>
    </row>
    <row r="161" customFormat="false" ht="15" hidden="false" customHeight="true" outlineLevel="0" collapsed="false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10"/>
      <c r="M161" s="10"/>
      <c r="N161" s="10"/>
      <c r="O161" s="11"/>
      <c r="P161" s="10"/>
      <c r="Q161" s="11"/>
      <c r="R161" s="10"/>
      <c r="S161" s="10"/>
    </row>
    <row r="162" customFormat="false" ht="15" hidden="false" customHeight="true" outlineLevel="0" collapsed="false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10"/>
      <c r="M162" s="10"/>
      <c r="N162" s="10"/>
      <c r="O162" s="11"/>
      <c r="P162" s="10"/>
      <c r="Q162" s="11"/>
      <c r="R162" s="10"/>
      <c r="S162" s="10"/>
    </row>
    <row r="163" customFormat="false" ht="15" hidden="false" customHeight="true" outlineLevel="0" collapsed="false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10"/>
      <c r="M163" s="10"/>
      <c r="N163" s="10"/>
      <c r="O163" s="11"/>
      <c r="P163" s="10"/>
      <c r="Q163" s="11"/>
      <c r="R163" s="10"/>
      <c r="S163" s="10"/>
    </row>
    <row r="164" customFormat="false" ht="15" hidden="false" customHeight="true" outlineLevel="0" collapsed="false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10"/>
      <c r="M164" s="10"/>
      <c r="N164" s="10"/>
      <c r="O164" s="11"/>
      <c r="P164" s="10"/>
      <c r="Q164" s="11"/>
      <c r="R164" s="10"/>
      <c r="S164" s="10"/>
    </row>
    <row r="165" customFormat="false" ht="15" hidden="false" customHeight="true" outlineLevel="0" collapsed="false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10"/>
      <c r="M165" s="10"/>
      <c r="N165" s="10"/>
      <c r="O165" s="11"/>
      <c r="P165" s="10"/>
      <c r="Q165" s="11"/>
      <c r="R165" s="10"/>
      <c r="S165" s="10"/>
    </row>
    <row r="166" customFormat="false" ht="15" hidden="false" customHeight="true" outlineLevel="0" collapsed="false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10"/>
      <c r="M166" s="10"/>
      <c r="N166" s="10"/>
      <c r="O166" s="11"/>
      <c r="P166" s="10"/>
      <c r="Q166" s="11"/>
      <c r="R166" s="10"/>
      <c r="S166" s="10"/>
    </row>
    <row r="167" customFormat="false" ht="15" hidden="false" customHeight="true" outlineLevel="0" collapsed="false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10"/>
      <c r="M167" s="10"/>
      <c r="N167" s="10"/>
      <c r="O167" s="11"/>
      <c r="P167" s="10"/>
      <c r="Q167" s="11"/>
      <c r="R167" s="10"/>
      <c r="S167" s="10"/>
    </row>
    <row r="168" customFormat="false" ht="15" hidden="false" customHeight="true" outlineLevel="0" collapsed="false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10"/>
      <c r="M168" s="10"/>
      <c r="N168" s="10"/>
      <c r="O168" s="11"/>
      <c r="P168" s="10"/>
      <c r="Q168" s="11"/>
      <c r="R168" s="10"/>
      <c r="S168" s="10"/>
    </row>
    <row r="169" customFormat="false" ht="15" hidden="false" customHeight="true" outlineLevel="0" collapsed="false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10"/>
      <c r="M169" s="10"/>
      <c r="N169" s="10"/>
      <c r="O169" s="11"/>
      <c r="P169" s="10"/>
      <c r="Q169" s="11"/>
      <c r="R169" s="10"/>
      <c r="S169" s="10"/>
    </row>
    <row r="170" customFormat="false" ht="15" hidden="false" customHeight="true" outlineLevel="0" collapsed="false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10"/>
      <c r="M170" s="10"/>
      <c r="N170" s="10"/>
      <c r="O170" s="11"/>
      <c r="P170" s="10"/>
      <c r="Q170" s="11"/>
      <c r="R170" s="10"/>
      <c r="S170" s="10"/>
    </row>
    <row r="171" customFormat="false" ht="15" hidden="false" customHeight="true" outlineLevel="0" collapsed="false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10"/>
      <c r="M171" s="10"/>
      <c r="N171" s="10"/>
      <c r="O171" s="11"/>
      <c r="P171" s="10"/>
      <c r="Q171" s="11"/>
      <c r="R171" s="10"/>
      <c r="S171" s="10"/>
    </row>
    <row r="172" customFormat="false" ht="15" hidden="false" customHeight="true" outlineLevel="0" collapsed="false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10"/>
      <c r="M172" s="10"/>
      <c r="N172" s="10"/>
      <c r="O172" s="11"/>
      <c r="P172" s="10"/>
      <c r="Q172" s="11"/>
      <c r="R172" s="10"/>
      <c r="S172" s="10"/>
    </row>
    <row r="173" customFormat="false" ht="15" hidden="false" customHeight="true" outlineLevel="0" collapsed="false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10"/>
      <c r="M173" s="10"/>
      <c r="N173" s="10"/>
      <c r="O173" s="11"/>
      <c r="P173" s="10"/>
      <c r="Q173" s="11"/>
      <c r="R173" s="10"/>
      <c r="S173" s="10"/>
    </row>
    <row r="174" customFormat="false" ht="15" hidden="false" customHeight="true" outlineLevel="0" collapsed="false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10"/>
      <c r="M174" s="10"/>
      <c r="N174" s="10"/>
      <c r="O174" s="11"/>
      <c r="P174" s="10"/>
      <c r="Q174" s="11"/>
      <c r="R174" s="10"/>
      <c r="S174" s="10"/>
    </row>
    <row r="175" customFormat="false" ht="15" hidden="false" customHeight="true" outlineLevel="0" collapsed="false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10"/>
      <c r="M175" s="10"/>
      <c r="N175" s="10"/>
      <c r="O175" s="11"/>
      <c r="P175" s="10"/>
      <c r="Q175" s="11"/>
      <c r="R175" s="10"/>
      <c r="S175" s="10"/>
    </row>
    <row r="176" customFormat="false" ht="15" hidden="false" customHeight="true" outlineLevel="0" collapsed="false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10"/>
      <c r="M176" s="10"/>
      <c r="N176" s="10"/>
      <c r="O176" s="11"/>
      <c r="P176" s="10"/>
      <c r="Q176" s="11"/>
      <c r="R176" s="10"/>
      <c r="S176" s="10"/>
    </row>
    <row r="177" customFormat="false" ht="15" hidden="false" customHeight="true" outlineLevel="0" collapsed="false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10"/>
      <c r="M177" s="10"/>
      <c r="N177" s="10"/>
      <c r="O177" s="11"/>
      <c r="P177" s="10"/>
      <c r="Q177" s="11"/>
      <c r="R177" s="10"/>
      <c r="S177" s="10"/>
    </row>
    <row r="178" customFormat="false" ht="15" hidden="false" customHeight="true" outlineLevel="0" collapsed="false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10"/>
      <c r="M178" s="10"/>
      <c r="N178" s="10"/>
      <c r="O178" s="11"/>
      <c r="P178" s="10"/>
      <c r="Q178" s="11"/>
      <c r="R178" s="10"/>
      <c r="S178" s="10"/>
    </row>
    <row r="179" customFormat="false" ht="15" hidden="false" customHeight="true" outlineLevel="0" collapsed="false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10"/>
      <c r="M179" s="10"/>
      <c r="N179" s="10"/>
      <c r="O179" s="11"/>
      <c r="P179" s="10"/>
      <c r="Q179" s="11"/>
      <c r="R179" s="10"/>
      <c r="S179" s="10"/>
    </row>
    <row r="180" customFormat="false" ht="15" hidden="false" customHeight="true" outlineLevel="0" collapsed="false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10"/>
      <c r="M180" s="10"/>
      <c r="N180" s="10"/>
      <c r="O180" s="11"/>
      <c r="P180" s="10"/>
      <c r="Q180" s="11"/>
      <c r="R180" s="10"/>
      <c r="S180" s="10"/>
    </row>
    <row r="181" customFormat="false" ht="15" hidden="false" customHeight="true" outlineLevel="0" collapsed="false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10"/>
      <c r="M181" s="10"/>
      <c r="N181" s="10"/>
      <c r="O181" s="11"/>
      <c r="P181" s="10"/>
      <c r="Q181" s="11"/>
      <c r="R181" s="10"/>
      <c r="S181" s="10"/>
    </row>
    <row r="182" customFormat="false" ht="15" hidden="false" customHeight="true" outlineLevel="0" collapsed="false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10"/>
      <c r="M182" s="10"/>
      <c r="N182" s="10"/>
      <c r="O182" s="11"/>
      <c r="P182" s="10"/>
      <c r="Q182" s="11"/>
      <c r="R182" s="10"/>
      <c r="S182" s="10"/>
    </row>
    <row r="183" customFormat="false" ht="15" hidden="false" customHeight="true" outlineLevel="0" collapsed="false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10"/>
      <c r="M183" s="10"/>
      <c r="N183" s="10"/>
      <c r="O183" s="11"/>
      <c r="P183" s="10"/>
      <c r="Q183" s="11"/>
      <c r="R183" s="10"/>
      <c r="S183" s="10"/>
    </row>
    <row r="184" customFormat="false" ht="15" hidden="false" customHeight="true" outlineLevel="0" collapsed="false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10"/>
      <c r="M184" s="10"/>
      <c r="N184" s="10"/>
      <c r="O184" s="11"/>
      <c r="P184" s="10"/>
      <c r="Q184" s="11"/>
      <c r="R184" s="10"/>
      <c r="S184" s="10"/>
    </row>
    <row r="185" customFormat="false" ht="15" hidden="false" customHeight="true" outlineLevel="0" collapsed="false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10"/>
      <c r="M185" s="10"/>
      <c r="N185" s="10"/>
      <c r="O185" s="11"/>
      <c r="P185" s="10"/>
      <c r="Q185" s="11"/>
      <c r="R185" s="10"/>
      <c r="S185" s="10"/>
    </row>
    <row r="186" customFormat="false" ht="15" hidden="false" customHeight="true" outlineLevel="0" collapsed="false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10"/>
      <c r="M186" s="10"/>
      <c r="N186" s="10"/>
      <c r="O186" s="11"/>
      <c r="P186" s="10"/>
      <c r="Q186" s="11"/>
      <c r="R186" s="10"/>
      <c r="S186" s="10"/>
    </row>
    <row r="187" customFormat="false" ht="15" hidden="false" customHeight="true" outlineLevel="0" collapsed="false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10"/>
      <c r="M187" s="10"/>
      <c r="N187" s="10"/>
      <c r="O187" s="11"/>
      <c r="P187" s="10"/>
      <c r="Q187" s="11"/>
      <c r="R187" s="10"/>
      <c r="S187" s="10"/>
    </row>
    <row r="188" customFormat="false" ht="15" hidden="false" customHeight="true" outlineLevel="0" collapsed="false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10"/>
      <c r="M188" s="10"/>
      <c r="N188" s="10"/>
      <c r="O188" s="11"/>
      <c r="P188" s="10"/>
      <c r="Q188" s="11"/>
      <c r="R188" s="10"/>
      <c r="S188" s="10"/>
    </row>
    <row r="189" customFormat="false" ht="15" hidden="false" customHeight="true" outlineLevel="0" collapsed="false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10"/>
      <c r="M189" s="10"/>
      <c r="N189" s="10"/>
      <c r="O189" s="11"/>
      <c r="P189" s="10"/>
      <c r="Q189" s="11"/>
      <c r="R189" s="10"/>
      <c r="S189" s="10"/>
    </row>
    <row r="190" customFormat="false" ht="15" hidden="false" customHeight="true" outlineLevel="0" collapsed="false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10"/>
      <c r="M190" s="10"/>
      <c r="N190" s="10"/>
      <c r="O190" s="11"/>
      <c r="P190" s="10"/>
      <c r="Q190" s="11"/>
      <c r="R190" s="10"/>
      <c r="S190" s="10"/>
    </row>
    <row r="191" customFormat="false" ht="15" hidden="false" customHeight="true" outlineLevel="0" collapsed="false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10"/>
      <c r="M191" s="10"/>
      <c r="N191" s="10"/>
      <c r="O191" s="11"/>
      <c r="P191" s="10"/>
      <c r="Q191" s="11"/>
      <c r="R191" s="10"/>
      <c r="S191" s="10"/>
    </row>
    <row r="192" customFormat="false" ht="15" hidden="false" customHeight="true" outlineLevel="0" collapsed="false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10"/>
      <c r="M192" s="10"/>
      <c r="N192" s="10"/>
      <c r="O192" s="11"/>
      <c r="P192" s="10"/>
      <c r="Q192" s="11"/>
      <c r="R192" s="10"/>
      <c r="S192" s="10"/>
    </row>
    <row r="193" customFormat="false" ht="15" hidden="false" customHeight="true" outlineLevel="0" collapsed="false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10"/>
      <c r="M193" s="10"/>
      <c r="N193" s="10"/>
      <c r="O193" s="11"/>
      <c r="P193" s="10"/>
      <c r="Q193" s="11"/>
      <c r="R193" s="10"/>
      <c r="S193" s="10"/>
    </row>
    <row r="194" customFormat="false" ht="15" hidden="false" customHeight="true" outlineLevel="0" collapsed="false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10"/>
      <c r="M194" s="10"/>
      <c r="N194" s="10"/>
      <c r="O194" s="11"/>
      <c r="P194" s="10"/>
      <c r="Q194" s="11"/>
      <c r="R194" s="10"/>
      <c r="S194" s="10"/>
    </row>
    <row r="195" customFormat="false" ht="15" hidden="false" customHeight="true" outlineLevel="0" collapsed="false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10"/>
      <c r="M195" s="10"/>
      <c r="N195" s="10"/>
      <c r="O195" s="11"/>
      <c r="P195" s="10"/>
      <c r="Q195" s="11"/>
      <c r="R195" s="10"/>
      <c r="S195" s="10"/>
    </row>
    <row r="196" customFormat="false" ht="15" hidden="false" customHeight="true" outlineLevel="0" collapsed="false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10"/>
      <c r="M196" s="10"/>
      <c r="N196" s="10"/>
      <c r="O196" s="11"/>
      <c r="P196" s="10"/>
      <c r="Q196" s="11"/>
      <c r="R196" s="10"/>
      <c r="S196" s="10"/>
    </row>
    <row r="197" customFormat="false" ht="15" hidden="false" customHeight="true" outlineLevel="0" collapsed="false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10"/>
      <c r="M197" s="10"/>
      <c r="N197" s="10"/>
      <c r="O197" s="11"/>
      <c r="P197" s="10"/>
      <c r="Q197" s="11"/>
      <c r="R197" s="10"/>
      <c r="S197" s="10"/>
    </row>
    <row r="198" customFormat="false" ht="15" hidden="false" customHeight="true" outlineLevel="0" collapsed="false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10"/>
      <c r="M198" s="10"/>
      <c r="N198" s="10"/>
      <c r="O198" s="11"/>
      <c r="P198" s="10"/>
      <c r="Q198" s="11"/>
      <c r="R198" s="10"/>
      <c r="S198" s="10"/>
    </row>
    <row r="199" customFormat="false" ht="15" hidden="false" customHeight="true" outlineLevel="0" collapsed="false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10"/>
      <c r="M199" s="10"/>
      <c r="N199" s="10"/>
      <c r="O199" s="11"/>
      <c r="P199" s="10"/>
      <c r="Q199" s="11"/>
      <c r="R199" s="10"/>
      <c r="S199" s="10"/>
    </row>
    <row r="200" customFormat="false" ht="15" hidden="false" customHeight="true" outlineLevel="0" collapsed="false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10"/>
      <c r="M200" s="10"/>
      <c r="N200" s="10"/>
      <c r="O200" s="11"/>
      <c r="P200" s="10"/>
      <c r="Q200" s="11"/>
      <c r="R200" s="10"/>
      <c r="S200" s="10"/>
    </row>
    <row r="201" customFormat="false" ht="15" hidden="false" customHeight="true" outlineLevel="0" collapsed="false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10"/>
      <c r="M201" s="10"/>
      <c r="N201" s="10"/>
      <c r="O201" s="11"/>
      <c r="P201" s="10"/>
      <c r="Q201" s="11"/>
      <c r="R201" s="10"/>
      <c r="S201" s="10"/>
    </row>
    <row r="202" customFormat="false" ht="15" hidden="false" customHeight="true" outlineLevel="0" collapsed="false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10"/>
      <c r="M202" s="10"/>
      <c r="N202" s="10"/>
      <c r="O202" s="11"/>
      <c r="P202" s="10"/>
      <c r="Q202" s="11"/>
      <c r="R202" s="10"/>
      <c r="S202" s="10"/>
    </row>
    <row r="203" customFormat="false" ht="15" hidden="false" customHeight="true" outlineLevel="0" collapsed="false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10"/>
      <c r="M203" s="10"/>
      <c r="N203" s="10"/>
      <c r="O203" s="11"/>
      <c r="P203" s="10"/>
      <c r="Q203" s="11"/>
      <c r="R203" s="10"/>
      <c r="S203" s="10"/>
    </row>
    <row r="204" customFormat="false" ht="15" hidden="false" customHeight="true" outlineLevel="0" collapsed="false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10"/>
      <c r="M204" s="10"/>
      <c r="N204" s="10"/>
      <c r="O204" s="11"/>
      <c r="P204" s="10"/>
      <c r="Q204" s="11"/>
      <c r="R204" s="10"/>
      <c r="S204" s="10"/>
    </row>
    <row r="205" customFormat="false" ht="15" hidden="false" customHeight="true" outlineLevel="0" collapsed="false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10"/>
      <c r="M205" s="10"/>
      <c r="N205" s="10"/>
      <c r="O205" s="11"/>
      <c r="P205" s="10"/>
      <c r="Q205" s="11"/>
      <c r="R205" s="10"/>
      <c r="S205" s="10"/>
    </row>
    <row r="206" customFormat="false" ht="15" hidden="false" customHeight="true" outlineLevel="0" collapsed="false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10"/>
      <c r="M206" s="10"/>
      <c r="N206" s="10"/>
      <c r="O206" s="11"/>
      <c r="P206" s="10"/>
      <c r="Q206" s="11"/>
      <c r="R206" s="10"/>
      <c r="S206" s="10"/>
    </row>
    <row r="207" customFormat="false" ht="15" hidden="false" customHeight="true" outlineLevel="0" collapsed="false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10"/>
      <c r="M207" s="10"/>
      <c r="N207" s="10"/>
      <c r="O207" s="11"/>
      <c r="P207" s="10"/>
      <c r="Q207" s="11"/>
      <c r="R207" s="10"/>
      <c r="S207" s="10"/>
    </row>
    <row r="208" customFormat="false" ht="15" hidden="false" customHeight="true" outlineLevel="0" collapsed="false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10"/>
      <c r="M208" s="10"/>
      <c r="N208" s="10"/>
      <c r="O208" s="11"/>
      <c r="P208" s="10"/>
      <c r="Q208" s="11"/>
      <c r="R208" s="10"/>
      <c r="S208" s="10"/>
    </row>
    <row r="209" customFormat="false" ht="15" hidden="false" customHeight="true" outlineLevel="0" collapsed="false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10"/>
      <c r="M209" s="10"/>
      <c r="N209" s="10"/>
      <c r="O209" s="11"/>
      <c r="P209" s="10"/>
      <c r="Q209" s="11"/>
      <c r="R209" s="10"/>
      <c r="S209" s="10"/>
    </row>
    <row r="210" customFormat="false" ht="15" hidden="false" customHeight="true" outlineLevel="0" collapsed="false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10"/>
      <c r="M210" s="10"/>
      <c r="N210" s="10"/>
      <c r="O210" s="11"/>
      <c r="P210" s="10"/>
      <c r="Q210" s="11"/>
      <c r="R210" s="10"/>
      <c r="S210" s="10"/>
    </row>
    <row r="211" customFormat="false" ht="15" hidden="false" customHeight="true" outlineLevel="0" collapsed="false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10"/>
      <c r="M211" s="10"/>
      <c r="N211" s="10"/>
      <c r="O211" s="11"/>
      <c r="P211" s="10"/>
      <c r="Q211" s="11"/>
      <c r="R211" s="10"/>
      <c r="S211" s="10"/>
    </row>
    <row r="212" customFormat="false" ht="15" hidden="false" customHeight="true" outlineLevel="0" collapsed="false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10"/>
      <c r="M212" s="10"/>
      <c r="N212" s="10"/>
      <c r="O212" s="11"/>
      <c r="P212" s="10"/>
      <c r="Q212" s="11"/>
      <c r="R212" s="10"/>
      <c r="S212" s="10"/>
    </row>
    <row r="213" customFormat="false" ht="15" hidden="false" customHeight="true" outlineLevel="0" collapsed="false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10"/>
      <c r="M213" s="10"/>
      <c r="N213" s="10"/>
      <c r="O213" s="11"/>
      <c r="P213" s="10"/>
      <c r="Q213" s="11"/>
      <c r="R213" s="10"/>
      <c r="S213" s="10"/>
    </row>
    <row r="214" customFormat="false" ht="15" hidden="false" customHeight="true" outlineLevel="0" collapsed="false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10"/>
      <c r="M214" s="10"/>
      <c r="N214" s="10"/>
      <c r="O214" s="11"/>
      <c r="P214" s="10"/>
      <c r="Q214" s="11"/>
      <c r="R214" s="10"/>
      <c r="S214" s="10"/>
    </row>
    <row r="215" customFormat="false" ht="15" hidden="false" customHeight="true" outlineLevel="0" collapsed="false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10"/>
      <c r="M215" s="10"/>
      <c r="N215" s="10"/>
      <c r="O215" s="11"/>
      <c r="P215" s="10"/>
      <c r="Q215" s="11"/>
      <c r="R215" s="10"/>
      <c r="S215" s="10"/>
    </row>
    <row r="216" customFormat="false" ht="15" hidden="false" customHeight="true" outlineLevel="0" collapsed="false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10"/>
      <c r="M216" s="10"/>
      <c r="N216" s="10"/>
      <c r="O216" s="11"/>
      <c r="P216" s="10"/>
      <c r="Q216" s="11"/>
      <c r="R216" s="10"/>
      <c r="S216" s="10"/>
    </row>
    <row r="217" customFormat="false" ht="15" hidden="false" customHeight="true" outlineLevel="0" collapsed="false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10"/>
      <c r="M217" s="10"/>
      <c r="N217" s="10"/>
      <c r="O217" s="11"/>
      <c r="P217" s="10"/>
      <c r="Q217" s="11"/>
      <c r="R217" s="10"/>
      <c r="S217" s="10"/>
    </row>
    <row r="218" customFormat="false" ht="15" hidden="false" customHeight="true" outlineLevel="0" collapsed="false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10"/>
      <c r="M218" s="10"/>
      <c r="N218" s="10"/>
      <c r="O218" s="11"/>
      <c r="P218" s="10"/>
      <c r="Q218" s="11"/>
      <c r="R218" s="10"/>
      <c r="S218" s="10"/>
    </row>
    <row r="219" customFormat="false" ht="15" hidden="false" customHeight="true" outlineLevel="0" collapsed="false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10"/>
      <c r="M219" s="10"/>
      <c r="N219" s="10"/>
      <c r="O219" s="11"/>
      <c r="P219" s="10"/>
      <c r="Q219" s="11"/>
      <c r="R219" s="10"/>
      <c r="S219" s="10"/>
    </row>
    <row r="220" customFormat="false" ht="15" hidden="false" customHeight="true" outlineLevel="0" collapsed="false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10"/>
      <c r="M220" s="10"/>
      <c r="N220" s="10"/>
      <c r="O220" s="11"/>
      <c r="P220" s="10"/>
      <c r="Q220" s="11"/>
      <c r="R220" s="10"/>
      <c r="S220" s="10"/>
    </row>
    <row r="221" customFormat="false" ht="15" hidden="false" customHeight="true" outlineLevel="0" collapsed="false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10"/>
      <c r="M221" s="10"/>
      <c r="N221" s="10"/>
      <c r="O221" s="11"/>
      <c r="P221" s="10"/>
      <c r="Q221" s="11"/>
      <c r="R221" s="10"/>
      <c r="S221" s="10"/>
    </row>
    <row r="222" customFormat="false" ht="15" hidden="false" customHeight="true" outlineLevel="0" collapsed="false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10"/>
      <c r="M222" s="10"/>
      <c r="N222" s="10"/>
      <c r="O222" s="11"/>
      <c r="P222" s="10"/>
      <c r="Q222" s="11"/>
      <c r="R222" s="10"/>
      <c r="S222" s="10"/>
    </row>
    <row r="223" customFormat="false" ht="15" hidden="false" customHeight="true" outlineLevel="0" collapsed="false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10"/>
      <c r="M223" s="10"/>
      <c r="N223" s="10"/>
      <c r="O223" s="11"/>
      <c r="P223" s="10"/>
      <c r="Q223" s="11"/>
      <c r="R223" s="10"/>
      <c r="S223" s="10"/>
    </row>
    <row r="224" customFormat="false" ht="15" hidden="false" customHeight="true" outlineLevel="0" collapsed="false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10"/>
      <c r="M224" s="10"/>
      <c r="N224" s="10"/>
      <c r="O224" s="11"/>
      <c r="P224" s="10"/>
      <c r="Q224" s="11"/>
      <c r="R224" s="10"/>
      <c r="S224" s="10"/>
    </row>
    <row r="225" customFormat="false" ht="15" hidden="false" customHeight="true" outlineLevel="0" collapsed="false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10"/>
      <c r="M225" s="10"/>
      <c r="N225" s="10"/>
      <c r="O225" s="11"/>
      <c r="P225" s="10"/>
      <c r="Q225" s="11"/>
      <c r="R225" s="10"/>
      <c r="S225" s="10"/>
    </row>
    <row r="226" customFormat="false" ht="15" hidden="false" customHeight="true" outlineLevel="0" collapsed="false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10"/>
      <c r="M226" s="10"/>
      <c r="N226" s="10"/>
      <c r="O226" s="11"/>
      <c r="P226" s="10"/>
      <c r="Q226" s="11"/>
      <c r="R226" s="10"/>
      <c r="S226" s="10"/>
    </row>
    <row r="227" customFormat="false" ht="15" hidden="false" customHeight="true" outlineLevel="0" collapsed="false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10"/>
      <c r="M227" s="10"/>
      <c r="N227" s="10"/>
      <c r="O227" s="11"/>
      <c r="P227" s="10"/>
      <c r="Q227" s="11"/>
      <c r="R227" s="10"/>
      <c r="S227" s="10"/>
    </row>
    <row r="228" customFormat="false" ht="15" hidden="false" customHeight="true" outlineLevel="0" collapsed="false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10"/>
      <c r="M228" s="10"/>
      <c r="N228" s="10"/>
      <c r="O228" s="11"/>
      <c r="P228" s="10"/>
      <c r="Q228" s="11"/>
      <c r="R228" s="10"/>
      <c r="S228" s="10"/>
    </row>
    <row r="229" customFormat="false" ht="15" hidden="false" customHeight="true" outlineLevel="0" collapsed="false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10"/>
      <c r="M229" s="10"/>
      <c r="N229" s="10"/>
      <c r="O229" s="11"/>
      <c r="P229" s="10"/>
      <c r="Q229" s="11"/>
      <c r="R229" s="10"/>
      <c r="S229" s="10"/>
    </row>
    <row r="230" customFormat="false" ht="15" hidden="false" customHeight="true" outlineLevel="0" collapsed="false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10"/>
      <c r="M230" s="10"/>
      <c r="N230" s="10"/>
      <c r="O230" s="11"/>
      <c r="P230" s="10"/>
      <c r="Q230" s="11"/>
      <c r="R230" s="10"/>
      <c r="S230" s="10"/>
    </row>
    <row r="231" customFormat="false" ht="15" hidden="false" customHeight="true" outlineLevel="0" collapsed="false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10"/>
      <c r="M231" s="10"/>
      <c r="N231" s="10"/>
      <c r="O231" s="11"/>
      <c r="P231" s="10"/>
      <c r="Q231" s="11"/>
      <c r="R231" s="10"/>
      <c r="S231" s="10"/>
    </row>
    <row r="232" customFormat="false" ht="15" hidden="false" customHeight="true" outlineLevel="0" collapsed="false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10"/>
      <c r="M232" s="10"/>
      <c r="N232" s="10"/>
      <c r="O232" s="11"/>
      <c r="P232" s="10"/>
      <c r="Q232" s="11"/>
      <c r="R232" s="10"/>
      <c r="S232" s="10"/>
    </row>
    <row r="233" customFormat="false" ht="15" hidden="false" customHeight="true" outlineLevel="0" collapsed="false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10"/>
      <c r="M233" s="10"/>
      <c r="N233" s="10"/>
      <c r="O233" s="11"/>
      <c r="P233" s="10"/>
      <c r="Q233" s="11"/>
      <c r="R233" s="10"/>
      <c r="S233" s="10"/>
    </row>
    <row r="234" customFormat="false" ht="15" hidden="false" customHeight="true" outlineLevel="0" collapsed="false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10"/>
      <c r="M234" s="10"/>
      <c r="N234" s="10"/>
      <c r="O234" s="11"/>
      <c r="P234" s="10"/>
      <c r="Q234" s="11"/>
      <c r="R234" s="10"/>
      <c r="S234" s="10"/>
    </row>
    <row r="235" customFormat="false" ht="15" hidden="false" customHeight="true" outlineLevel="0" collapsed="false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10"/>
      <c r="M235" s="10"/>
      <c r="N235" s="10"/>
      <c r="O235" s="11"/>
      <c r="P235" s="10"/>
      <c r="Q235" s="11"/>
      <c r="R235" s="10"/>
      <c r="S235" s="10"/>
    </row>
    <row r="236" customFormat="false" ht="15" hidden="false" customHeight="true" outlineLevel="0" collapsed="false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10"/>
      <c r="M236" s="10"/>
      <c r="N236" s="10"/>
      <c r="O236" s="11"/>
      <c r="P236" s="10"/>
      <c r="Q236" s="11"/>
      <c r="R236" s="10"/>
      <c r="S236" s="10"/>
    </row>
    <row r="237" customFormat="false" ht="15" hidden="false" customHeight="true" outlineLevel="0" collapsed="false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10"/>
      <c r="M237" s="10"/>
      <c r="N237" s="10"/>
      <c r="O237" s="11"/>
      <c r="P237" s="10"/>
      <c r="Q237" s="11"/>
      <c r="R237" s="10"/>
      <c r="S237" s="10"/>
    </row>
    <row r="238" customFormat="false" ht="15" hidden="false" customHeight="true" outlineLevel="0" collapsed="false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10"/>
      <c r="M238" s="10"/>
      <c r="N238" s="10"/>
      <c r="O238" s="11"/>
      <c r="P238" s="10"/>
      <c r="Q238" s="11"/>
      <c r="R238" s="10"/>
      <c r="S238" s="10"/>
    </row>
    <row r="239" customFormat="false" ht="15" hidden="false" customHeight="true" outlineLevel="0" collapsed="false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10"/>
      <c r="M239" s="10"/>
      <c r="N239" s="10"/>
      <c r="O239" s="11"/>
      <c r="P239" s="10"/>
      <c r="Q239" s="11"/>
      <c r="R239" s="10"/>
      <c r="S239" s="10"/>
    </row>
    <row r="240" customFormat="false" ht="15" hidden="false" customHeight="true" outlineLevel="0" collapsed="false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10"/>
      <c r="M240" s="10"/>
      <c r="N240" s="10"/>
      <c r="O240" s="11"/>
      <c r="P240" s="10"/>
      <c r="Q240" s="11"/>
      <c r="R240" s="10"/>
      <c r="S240" s="10"/>
    </row>
    <row r="241" customFormat="false" ht="15" hidden="false" customHeight="true" outlineLevel="0" collapsed="false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10"/>
      <c r="M241" s="10"/>
      <c r="N241" s="10"/>
      <c r="O241" s="11"/>
      <c r="P241" s="10"/>
      <c r="Q241" s="11"/>
      <c r="R241" s="10"/>
      <c r="S241" s="10"/>
    </row>
    <row r="242" customFormat="false" ht="15" hidden="false" customHeight="true" outlineLevel="0" collapsed="false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10"/>
      <c r="M242" s="10"/>
      <c r="N242" s="10"/>
      <c r="O242" s="11"/>
      <c r="P242" s="10"/>
      <c r="Q242" s="11"/>
      <c r="R242" s="10"/>
      <c r="S242" s="10"/>
    </row>
    <row r="243" customFormat="false" ht="15" hidden="false" customHeight="true" outlineLevel="0" collapsed="false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10"/>
      <c r="M243" s="10"/>
      <c r="N243" s="10"/>
      <c r="O243" s="11"/>
      <c r="P243" s="10"/>
      <c r="Q243" s="11"/>
      <c r="R243" s="10"/>
      <c r="S243" s="10"/>
    </row>
    <row r="244" customFormat="false" ht="15" hidden="false" customHeight="true" outlineLevel="0" collapsed="false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10"/>
      <c r="M244" s="10"/>
      <c r="N244" s="10"/>
      <c r="O244" s="11"/>
      <c r="P244" s="10"/>
      <c r="Q244" s="11"/>
      <c r="R244" s="10"/>
      <c r="S244" s="10"/>
    </row>
    <row r="245" customFormat="false" ht="15" hidden="false" customHeight="true" outlineLevel="0" collapsed="false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10"/>
      <c r="M245" s="10"/>
      <c r="N245" s="10"/>
      <c r="O245" s="11"/>
      <c r="P245" s="10"/>
      <c r="Q245" s="11"/>
      <c r="R245" s="10"/>
      <c r="S245" s="10"/>
    </row>
    <row r="246" customFormat="false" ht="15" hidden="false" customHeight="true" outlineLevel="0" collapsed="false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10"/>
      <c r="M246" s="10"/>
      <c r="N246" s="10"/>
      <c r="O246" s="11"/>
      <c r="P246" s="10"/>
      <c r="Q246" s="11"/>
      <c r="R246" s="10"/>
      <c r="S246" s="10"/>
    </row>
    <row r="247" customFormat="false" ht="15" hidden="false" customHeight="true" outlineLevel="0" collapsed="false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10"/>
      <c r="M247" s="10"/>
      <c r="N247" s="10"/>
      <c r="O247" s="11"/>
      <c r="P247" s="10"/>
      <c r="Q247" s="11"/>
      <c r="R247" s="10"/>
      <c r="S247" s="10"/>
    </row>
    <row r="248" customFormat="false" ht="15" hidden="false" customHeight="true" outlineLevel="0" collapsed="false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10"/>
      <c r="M248" s="10"/>
      <c r="N248" s="10"/>
      <c r="O248" s="11"/>
      <c r="P248" s="10"/>
      <c r="Q248" s="11"/>
      <c r="R248" s="10"/>
      <c r="S248" s="10"/>
    </row>
    <row r="249" customFormat="false" ht="15" hidden="false" customHeight="true" outlineLevel="0" collapsed="false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10"/>
      <c r="M249" s="10"/>
      <c r="N249" s="10"/>
      <c r="O249" s="11"/>
      <c r="P249" s="10"/>
      <c r="Q249" s="11"/>
      <c r="R249" s="10"/>
      <c r="S249" s="10"/>
    </row>
    <row r="250" customFormat="false" ht="15" hidden="false" customHeight="true" outlineLevel="0" collapsed="false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10"/>
      <c r="M250" s="10"/>
      <c r="N250" s="10"/>
      <c r="O250" s="11"/>
      <c r="P250" s="10"/>
      <c r="Q250" s="11"/>
      <c r="R250" s="10"/>
      <c r="S250" s="10"/>
    </row>
    <row r="251" customFormat="false" ht="15" hidden="false" customHeight="true" outlineLevel="0" collapsed="false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10"/>
      <c r="M251" s="10"/>
      <c r="N251" s="10"/>
      <c r="O251" s="11"/>
      <c r="P251" s="10"/>
      <c r="Q251" s="11"/>
      <c r="R251" s="10"/>
      <c r="S251" s="10"/>
    </row>
    <row r="252" customFormat="false" ht="15" hidden="false" customHeight="true" outlineLevel="0" collapsed="false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10"/>
      <c r="M252" s="10"/>
      <c r="N252" s="10"/>
      <c r="O252" s="11"/>
      <c r="P252" s="10"/>
      <c r="Q252" s="11"/>
      <c r="R252" s="10"/>
      <c r="S252" s="10"/>
    </row>
    <row r="253" customFormat="false" ht="15" hidden="false" customHeight="true" outlineLevel="0" collapsed="false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10"/>
      <c r="M253" s="10"/>
      <c r="N253" s="10"/>
      <c r="O253" s="11"/>
      <c r="P253" s="10"/>
      <c r="Q253" s="11"/>
      <c r="R253" s="10"/>
      <c r="S253" s="10"/>
    </row>
    <row r="254" customFormat="false" ht="15" hidden="false" customHeight="true" outlineLevel="0" collapsed="false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10"/>
      <c r="M254" s="10"/>
      <c r="N254" s="10"/>
      <c r="O254" s="11"/>
      <c r="P254" s="10"/>
      <c r="Q254" s="11"/>
      <c r="R254" s="10"/>
      <c r="S254" s="10"/>
    </row>
    <row r="255" customFormat="false" ht="15" hidden="false" customHeight="true" outlineLevel="0" collapsed="false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10"/>
      <c r="M255" s="10"/>
      <c r="N255" s="10"/>
      <c r="O255" s="11"/>
      <c r="P255" s="10"/>
      <c r="Q255" s="11"/>
      <c r="R255" s="10"/>
      <c r="S255" s="10"/>
    </row>
    <row r="256" customFormat="false" ht="15" hidden="false" customHeight="true" outlineLevel="0" collapsed="false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10"/>
      <c r="M256" s="10"/>
      <c r="N256" s="10"/>
      <c r="O256" s="11"/>
      <c r="P256" s="10"/>
      <c r="Q256" s="11"/>
      <c r="R256" s="10"/>
      <c r="S256" s="10"/>
    </row>
    <row r="257" customFormat="false" ht="15" hidden="false" customHeight="true" outlineLevel="0" collapsed="false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10"/>
      <c r="M257" s="10"/>
      <c r="N257" s="10"/>
      <c r="O257" s="11"/>
      <c r="P257" s="10"/>
      <c r="Q257" s="11"/>
      <c r="R257" s="10"/>
      <c r="S257" s="10"/>
    </row>
    <row r="258" customFormat="false" ht="15" hidden="false" customHeight="true" outlineLevel="0" collapsed="false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10"/>
      <c r="M258" s="10"/>
      <c r="N258" s="10"/>
      <c r="O258" s="11"/>
      <c r="P258" s="10"/>
      <c r="Q258" s="11"/>
      <c r="R258" s="10"/>
      <c r="S258" s="10"/>
    </row>
    <row r="259" customFormat="false" ht="15" hidden="false" customHeight="true" outlineLevel="0" collapsed="false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10"/>
      <c r="M259" s="10"/>
      <c r="N259" s="10"/>
      <c r="O259" s="11"/>
      <c r="P259" s="10"/>
      <c r="Q259" s="11"/>
      <c r="R259" s="10"/>
      <c r="S259" s="10"/>
    </row>
    <row r="260" customFormat="false" ht="15" hidden="false" customHeight="true" outlineLevel="0" collapsed="false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10"/>
      <c r="M260" s="10"/>
      <c r="N260" s="10"/>
      <c r="O260" s="11"/>
      <c r="P260" s="10"/>
      <c r="Q260" s="11"/>
      <c r="R260" s="10"/>
      <c r="S260" s="10"/>
    </row>
    <row r="261" customFormat="false" ht="15" hidden="false" customHeight="true" outlineLevel="0" collapsed="false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10"/>
      <c r="M261" s="10"/>
      <c r="N261" s="10"/>
      <c r="O261" s="11"/>
      <c r="P261" s="10"/>
      <c r="Q261" s="11"/>
      <c r="R261" s="10"/>
      <c r="S261" s="10"/>
    </row>
    <row r="262" customFormat="false" ht="15" hidden="false" customHeight="true" outlineLevel="0" collapsed="false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10"/>
      <c r="M262" s="10"/>
      <c r="N262" s="10"/>
      <c r="O262" s="11"/>
      <c r="P262" s="10"/>
      <c r="Q262" s="11"/>
      <c r="R262" s="10"/>
      <c r="S262" s="10"/>
    </row>
    <row r="263" customFormat="false" ht="15" hidden="false" customHeight="true" outlineLevel="0" collapsed="false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10"/>
      <c r="M263" s="10"/>
      <c r="N263" s="10"/>
      <c r="O263" s="11"/>
      <c r="P263" s="10"/>
      <c r="Q263" s="11"/>
      <c r="R263" s="10"/>
      <c r="S263" s="10"/>
    </row>
    <row r="264" customFormat="false" ht="15" hidden="false" customHeight="true" outlineLevel="0" collapsed="false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10"/>
      <c r="M264" s="10"/>
      <c r="N264" s="10"/>
      <c r="O264" s="11"/>
      <c r="P264" s="10"/>
      <c r="Q264" s="11"/>
      <c r="R264" s="10"/>
      <c r="S264" s="10"/>
    </row>
    <row r="265" customFormat="false" ht="15" hidden="false" customHeight="true" outlineLevel="0" collapsed="false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10"/>
      <c r="M265" s="10"/>
      <c r="N265" s="10"/>
      <c r="O265" s="11"/>
      <c r="P265" s="10"/>
      <c r="Q265" s="11"/>
      <c r="R265" s="10"/>
      <c r="S265" s="10"/>
    </row>
    <row r="266" customFormat="false" ht="15" hidden="false" customHeight="true" outlineLevel="0" collapsed="false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10"/>
      <c r="M266" s="10"/>
      <c r="N266" s="10"/>
      <c r="O266" s="11"/>
      <c r="P266" s="10"/>
      <c r="Q266" s="11"/>
      <c r="R266" s="10"/>
      <c r="S266" s="10"/>
    </row>
    <row r="267" customFormat="false" ht="15" hidden="false" customHeight="true" outlineLevel="0" collapsed="false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10"/>
      <c r="M267" s="10"/>
      <c r="N267" s="10"/>
      <c r="O267" s="11"/>
      <c r="P267" s="10"/>
      <c r="Q267" s="11"/>
      <c r="R267" s="10"/>
      <c r="S267" s="10"/>
    </row>
    <row r="268" customFormat="false" ht="15" hidden="false" customHeight="true" outlineLevel="0" collapsed="false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10"/>
      <c r="M268" s="10"/>
      <c r="N268" s="10"/>
      <c r="O268" s="11"/>
      <c r="P268" s="10"/>
      <c r="Q268" s="11"/>
      <c r="R268" s="10"/>
      <c r="S268" s="10"/>
    </row>
    <row r="269" customFormat="false" ht="15" hidden="false" customHeight="true" outlineLevel="0" collapsed="false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10"/>
      <c r="M269" s="10"/>
      <c r="N269" s="10"/>
      <c r="O269" s="11"/>
      <c r="P269" s="10"/>
      <c r="Q269" s="11"/>
      <c r="R269" s="10"/>
      <c r="S269" s="10"/>
    </row>
    <row r="270" customFormat="false" ht="15" hidden="false" customHeight="true" outlineLevel="0" collapsed="false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10"/>
      <c r="M270" s="10"/>
      <c r="N270" s="10"/>
      <c r="O270" s="11"/>
      <c r="P270" s="10"/>
      <c r="Q270" s="11"/>
      <c r="R270" s="10"/>
      <c r="S270" s="10"/>
    </row>
    <row r="271" customFormat="false" ht="15" hidden="false" customHeight="true" outlineLevel="0" collapsed="false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10"/>
      <c r="M271" s="10"/>
      <c r="N271" s="10"/>
      <c r="O271" s="11"/>
      <c r="P271" s="10"/>
      <c r="Q271" s="11"/>
      <c r="R271" s="10"/>
      <c r="S271" s="10"/>
    </row>
    <row r="272" customFormat="false" ht="15" hidden="false" customHeight="true" outlineLevel="0" collapsed="false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10"/>
      <c r="M272" s="10"/>
      <c r="N272" s="10"/>
      <c r="O272" s="11"/>
      <c r="P272" s="10"/>
      <c r="Q272" s="11"/>
      <c r="R272" s="10"/>
      <c r="S272" s="10"/>
    </row>
    <row r="273" customFormat="false" ht="15" hidden="false" customHeight="true" outlineLevel="0" collapsed="false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10"/>
      <c r="M273" s="10"/>
      <c r="N273" s="10"/>
      <c r="O273" s="11"/>
      <c r="P273" s="10"/>
      <c r="Q273" s="11"/>
      <c r="R273" s="10"/>
      <c r="S273" s="10"/>
    </row>
    <row r="274" customFormat="false" ht="15" hidden="false" customHeight="true" outlineLevel="0" collapsed="false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10"/>
      <c r="M274" s="10"/>
      <c r="N274" s="10"/>
      <c r="O274" s="11"/>
      <c r="P274" s="10"/>
      <c r="Q274" s="11"/>
      <c r="R274" s="10"/>
      <c r="S274" s="10"/>
    </row>
    <row r="275" customFormat="false" ht="15" hidden="false" customHeight="true" outlineLevel="0" collapsed="false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10"/>
      <c r="M275" s="10"/>
      <c r="N275" s="10"/>
      <c r="O275" s="11"/>
      <c r="P275" s="10"/>
      <c r="Q275" s="11"/>
      <c r="R275" s="10"/>
      <c r="S275" s="10"/>
    </row>
    <row r="276" customFormat="false" ht="15" hidden="false" customHeight="true" outlineLevel="0" collapsed="false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10"/>
      <c r="M276" s="10"/>
      <c r="N276" s="10"/>
      <c r="O276" s="11"/>
      <c r="P276" s="10"/>
      <c r="Q276" s="11"/>
      <c r="R276" s="10"/>
      <c r="S276" s="10"/>
    </row>
    <row r="277" customFormat="false" ht="15" hidden="false" customHeight="true" outlineLevel="0" collapsed="false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10"/>
      <c r="M277" s="10"/>
      <c r="N277" s="10"/>
      <c r="O277" s="11"/>
      <c r="P277" s="10"/>
      <c r="Q277" s="11"/>
      <c r="R277" s="10"/>
      <c r="S277" s="10"/>
    </row>
    <row r="278" customFormat="false" ht="15" hidden="false" customHeight="true" outlineLevel="0" collapsed="false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10"/>
      <c r="M278" s="10"/>
      <c r="N278" s="10"/>
      <c r="O278" s="11"/>
      <c r="P278" s="10"/>
      <c r="Q278" s="11"/>
      <c r="R278" s="10"/>
      <c r="S278" s="10"/>
    </row>
    <row r="279" customFormat="false" ht="15" hidden="false" customHeight="true" outlineLevel="0" collapsed="false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10"/>
      <c r="M279" s="10"/>
      <c r="N279" s="10"/>
      <c r="O279" s="11"/>
      <c r="P279" s="10"/>
      <c r="Q279" s="11"/>
      <c r="R279" s="10"/>
      <c r="S279" s="10"/>
    </row>
    <row r="280" customFormat="false" ht="15" hidden="false" customHeight="true" outlineLevel="0" collapsed="false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10"/>
      <c r="M280" s="10"/>
      <c r="N280" s="10"/>
      <c r="O280" s="11"/>
      <c r="P280" s="10"/>
      <c r="Q280" s="11"/>
      <c r="R280" s="10"/>
      <c r="S280" s="10"/>
    </row>
    <row r="281" customFormat="false" ht="15" hidden="false" customHeight="true" outlineLevel="0" collapsed="false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10"/>
      <c r="M281" s="10"/>
      <c r="N281" s="10"/>
      <c r="O281" s="11"/>
      <c r="P281" s="10"/>
      <c r="Q281" s="11"/>
      <c r="R281" s="10"/>
      <c r="S281" s="10"/>
    </row>
    <row r="282" customFormat="false" ht="15" hidden="false" customHeight="true" outlineLevel="0" collapsed="false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10"/>
      <c r="M282" s="10"/>
      <c r="N282" s="10"/>
      <c r="O282" s="11"/>
      <c r="P282" s="10"/>
      <c r="Q282" s="11"/>
      <c r="R282" s="10"/>
      <c r="S282" s="10"/>
    </row>
    <row r="283" customFormat="false" ht="15" hidden="false" customHeight="true" outlineLevel="0" collapsed="false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10"/>
      <c r="M283" s="10"/>
      <c r="N283" s="10"/>
      <c r="O283" s="11"/>
      <c r="P283" s="10"/>
      <c r="Q283" s="11"/>
      <c r="R283" s="10"/>
      <c r="S283" s="10"/>
    </row>
    <row r="284" customFormat="false" ht="15" hidden="false" customHeight="true" outlineLevel="0" collapsed="false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10"/>
      <c r="M284" s="10"/>
      <c r="N284" s="10"/>
      <c r="O284" s="11"/>
      <c r="P284" s="10"/>
      <c r="Q284" s="11"/>
      <c r="R284" s="10"/>
      <c r="S284" s="10"/>
    </row>
    <row r="285" customFormat="false" ht="15" hidden="false" customHeight="true" outlineLevel="0" collapsed="false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10"/>
      <c r="M285" s="10"/>
      <c r="N285" s="10"/>
      <c r="O285" s="11"/>
      <c r="P285" s="10"/>
      <c r="Q285" s="11"/>
      <c r="R285" s="10"/>
      <c r="S285" s="10"/>
    </row>
    <row r="286" customFormat="false" ht="15" hidden="false" customHeight="true" outlineLevel="0" collapsed="false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10"/>
      <c r="M286" s="10"/>
      <c r="N286" s="10"/>
      <c r="O286" s="11"/>
      <c r="P286" s="10"/>
      <c r="Q286" s="11"/>
      <c r="R286" s="10"/>
      <c r="S286" s="10"/>
    </row>
    <row r="287" customFormat="false" ht="15" hidden="false" customHeight="true" outlineLevel="0" collapsed="false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10"/>
      <c r="M287" s="10"/>
      <c r="N287" s="10"/>
      <c r="O287" s="11"/>
      <c r="P287" s="10"/>
      <c r="Q287" s="11"/>
      <c r="R287" s="10"/>
      <c r="S287" s="10"/>
    </row>
    <row r="288" customFormat="false" ht="15" hidden="false" customHeight="true" outlineLevel="0" collapsed="false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10"/>
      <c r="M288" s="10"/>
      <c r="N288" s="10"/>
      <c r="O288" s="11"/>
      <c r="P288" s="10"/>
      <c r="Q288" s="11"/>
      <c r="R288" s="10"/>
      <c r="S288" s="10"/>
    </row>
    <row r="289" customFormat="false" ht="15" hidden="false" customHeight="true" outlineLevel="0" collapsed="false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10"/>
      <c r="M289" s="10"/>
      <c r="N289" s="10"/>
      <c r="O289" s="11"/>
      <c r="P289" s="10"/>
      <c r="Q289" s="11"/>
      <c r="R289" s="10"/>
      <c r="S289" s="10"/>
    </row>
    <row r="290" customFormat="false" ht="15" hidden="false" customHeight="true" outlineLevel="0" collapsed="false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10"/>
      <c r="M290" s="10"/>
      <c r="N290" s="10"/>
      <c r="O290" s="11"/>
      <c r="P290" s="10"/>
      <c r="Q290" s="11"/>
      <c r="R290" s="10"/>
      <c r="S290" s="10"/>
    </row>
    <row r="291" customFormat="false" ht="15" hidden="false" customHeight="true" outlineLevel="0" collapsed="false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10"/>
      <c r="M291" s="10"/>
      <c r="N291" s="10"/>
      <c r="O291" s="11"/>
      <c r="P291" s="10"/>
      <c r="Q291" s="11"/>
      <c r="R291" s="10"/>
      <c r="S291" s="10"/>
    </row>
    <row r="292" customFormat="false" ht="15" hidden="false" customHeight="true" outlineLevel="0" collapsed="false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10"/>
      <c r="M292" s="10"/>
      <c r="N292" s="10"/>
      <c r="O292" s="11"/>
      <c r="P292" s="10"/>
      <c r="Q292" s="11"/>
      <c r="R292" s="10"/>
      <c r="S292" s="10"/>
    </row>
    <row r="293" customFormat="false" ht="15" hidden="false" customHeight="true" outlineLevel="0" collapsed="false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10"/>
      <c r="M293" s="10"/>
      <c r="N293" s="10"/>
      <c r="O293" s="11"/>
      <c r="P293" s="10"/>
      <c r="Q293" s="11"/>
      <c r="R293" s="10"/>
      <c r="S293" s="10"/>
    </row>
    <row r="294" customFormat="false" ht="15" hidden="false" customHeight="true" outlineLevel="0" collapsed="false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10"/>
      <c r="M294" s="10"/>
      <c r="N294" s="10"/>
      <c r="O294" s="11"/>
      <c r="P294" s="10"/>
      <c r="Q294" s="11"/>
      <c r="R294" s="10"/>
      <c r="S294" s="10"/>
    </row>
    <row r="295" customFormat="false" ht="15" hidden="false" customHeight="true" outlineLevel="0" collapsed="false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10"/>
      <c r="M295" s="10"/>
      <c r="N295" s="10"/>
      <c r="O295" s="11"/>
      <c r="P295" s="10"/>
      <c r="Q295" s="11"/>
      <c r="R295" s="10"/>
      <c r="S295" s="10"/>
    </row>
    <row r="296" customFormat="false" ht="15" hidden="false" customHeight="true" outlineLevel="0" collapsed="false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10"/>
      <c r="M296" s="10"/>
      <c r="N296" s="10"/>
      <c r="O296" s="11"/>
      <c r="P296" s="10"/>
      <c r="Q296" s="11"/>
      <c r="R296" s="10"/>
      <c r="S296" s="10"/>
    </row>
    <row r="297" customFormat="false" ht="15" hidden="false" customHeight="true" outlineLevel="0" collapsed="false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10"/>
      <c r="M297" s="10"/>
      <c r="N297" s="10"/>
      <c r="O297" s="11"/>
      <c r="P297" s="10"/>
      <c r="Q297" s="11"/>
      <c r="R297" s="10"/>
      <c r="S297" s="10"/>
    </row>
    <row r="298" customFormat="false" ht="15" hidden="false" customHeight="true" outlineLevel="0" collapsed="false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10"/>
      <c r="M298" s="10"/>
      <c r="N298" s="10"/>
      <c r="O298" s="11"/>
      <c r="P298" s="10"/>
      <c r="Q298" s="11"/>
      <c r="R298" s="10"/>
      <c r="S298" s="10"/>
    </row>
    <row r="299" customFormat="false" ht="15" hidden="false" customHeight="true" outlineLevel="0" collapsed="false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10"/>
      <c r="M299" s="10"/>
      <c r="N299" s="10"/>
      <c r="O299" s="11"/>
      <c r="P299" s="10"/>
      <c r="Q299" s="11"/>
      <c r="R299" s="10"/>
      <c r="S299" s="10"/>
    </row>
    <row r="300" customFormat="false" ht="15" hidden="false" customHeight="true" outlineLevel="0" collapsed="false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10"/>
      <c r="M300" s="10"/>
      <c r="N300" s="10"/>
      <c r="O300" s="11"/>
      <c r="P300" s="10"/>
      <c r="Q300" s="11"/>
      <c r="R300" s="10"/>
      <c r="S300" s="10"/>
    </row>
    <row r="301" customFormat="false" ht="15" hidden="false" customHeight="true" outlineLevel="0" collapsed="false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10"/>
      <c r="M301" s="10"/>
      <c r="N301" s="10"/>
      <c r="O301" s="11"/>
      <c r="P301" s="10"/>
      <c r="Q301" s="11"/>
      <c r="R301" s="10"/>
      <c r="S301" s="10"/>
    </row>
    <row r="302" customFormat="false" ht="15" hidden="false" customHeight="true" outlineLevel="0" collapsed="false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10"/>
      <c r="M302" s="10"/>
      <c r="N302" s="10"/>
      <c r="O302" s="11"/>
      <c r="P302" s="10"/>
      <c r="Q302" s="11"/>
      <c r="R302" s="10"/>
      <c r="S302" s="10"/>
    </row>
    <row r="303" customFormat="false" ht="15" hidden="false" customHeight="true" outlineLevel="0" collapsed="false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10"/>
      <c r="M303" s="10"/>
      <c r="N303" s="10"/>
      <c r="O303" s="11"/>
      <c r="P303" s="10"/>
      <c r="Q303" s="11"/>
      <c r="R303" s="10"/>
      <c r="S303" s="10"/>
    </row>
    <row r="304" customFormat="false" ht="15" hidden="false" customHeight="true" outlineLevel="0" collapsed="false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10"/>
      <c r="M304" s="10"/>
      <c r="N304" s="10"/>
      <c r="O304" s="11"/>
      <c r="P304" s="10"/>
      <c r="Q304" s="11"/>
      <c r="R304" s="10"/>
      <c r="S304" s="10"/>
    </row>
    <row r="305" customFormat="false" ht="15" hidden="false" customHeight="true" outlineLevel="0" collapsed="false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10"/>
      <c r="M305" s="10"/>
      <c r="N305" s="10"/>
      <c r="O305" s="11"/>
      <c r="P305" s="10"/>
      <c r="Q305" s="11"/>
      <c r="R305" s="10"/>
      <c r="S305" s="10"/>
    </row>
    <row r="306" customFormat="false" ht="15" hidden="false" customHeight="true" outlineLevel="0" collapsed="false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10"/>
      <c r="M306" s="10"/>
      <c r="N306" s="10"/>
      <c r="O306" s="11"/>
      <c r="P306" s="10"/>
      <c r="Q306" s="11"/>
      <c r="R306" s="10"/>
      <c r="S306" s="10"/>
    </row>
    <row r="307" customFormat="false" ht="15" hidden="false" customHeight="true" outlineLevel="0" collapsed="false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10"/>
      <c r="M307" s="10"/>
      <c r="N307" s="10"/>
      <c r="O307" s="11"/>
      <c r="P307" s="10"/>
      <c r="Q307" s="11"/>
      <c r="R307" s="10"/>
      <c r="S307" s="10"/>
    </row>
    <row r="308" customFormat="false" ht="15" hidden="false" customHeight="true" outlineLevel="0" collapsed="false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10"/>
      <c r="M308" s="10"/>
      <c r="N308" s="10"/>
      <c r="O308" s="11"/>
      <c r="P308" s="10"/>
      <c r="Q308" s="11"/>
      <c r="R308" s="10"/>
      <c r="S308" s="10"/>
    </row>
    <row r="309" customFormat="false" ht="15" hidden="false" customHeight="true" outlineLevel="0" collapsed="false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10"/>
      <c r="M309" s="10"/>
      <c r="N309" s="10"/>
      <c r="O309" s="11"/>
      <c r="P309" s="10"/>
      <c r="Q309" s="11"/>
      <c r="R309" s="10"/>
      <c r="S309" s="10"/>
    </row>
    <row r="310" customFormat="false" ht="15" hidden="false" customHeight="true" outlineLevel="0" collapsed="false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10"/>
      <c r="M310" s="10"/>
      <c r="N310" s="10"/>
      <c r="O310" s="11"/>
      <c r="P310" s="10"/>
      <c r="Q310" s="11"/>
      <c r="R310" s="10"/>
      <c r="S310" s="10"/>
    </row>
    <row r="311" customFormat="false" ht="15" hidden="false" customHeight="true" outlineLevel="0" collapsed="false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10"/>
      <c r="M311" s="10"/>
      <c r="N311" s="10"/>
      <c r="O311" s="11"/>
      <c r="P311" s="10"/>
      <c r="Q311" s="11"/>
      <c r="R311" s="10"/>
      <c r="S311" s="10"/>
    </row>
    <row r="312" customFormat="false" ht="15" hidden="false" customHeight="true" outlineLevel="0" collapsed="false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10"/>
      <c r="M312" s="10"/>
      <c r="N312" s="10"/>
      <c r="O312" s="11"/>
      <c r="P312" s="10"/>
      <c r="Q312" s="11"/>
      <c r="R312" s="10"/>
      <c r="S312" s="10"/>
    </row>
    <row r="313" customFormat="false" ht="15" hidden="false" customHeight="true" outlineLevel="0" collapsed="false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10"/>
      <c r="M313" s="10"/>
      <c r="N313" s="10"/>
      <c r="O313" s="11"/>
      <c r="P313" s="10"/>
      <c r="Q313" s="11"/>
      <c r="R313" s="10"/>
      <c r="S313" s="10"/>
    </row>
    <row r="314" customFormat="false" ht="15" hidden="false" customHeight="true" outlineLevel="0" collapsed="false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10"/>
      <c r="M314" s="10"/>
      <c r="N314" s="10"/>
      <c r="O314" s="11"/>
      <c r="P314" s="10"/>
      <c r="Q314" s="11"/>
      <c r="R314" s="10"/>
      <c r="S314" s="10"/>
    </row>
    <row r="315" customFormat="false" ht="15" hidden="false" customHeight="true" outlineLevel="0" collapsed="false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10"/>
      <c r="M315" s="10"/>
      <c r="N315" s="10"/>
      <c r="O315" s="11"/>
      <c r="P315" s="10"/>
      <c r="Q315" s="11"/>
      <c r="R315" s="10"/>
      <c r="S315" s="10"/>
    </row>
    <row r="316" customFormat="false" ht="15" hidden="false" customHeight="true" outlineLevel="0" collapsed="false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10"/>
      <c r="M316" s="10"/>
      <c r="N316" s="10"/>
      <c r="O316" s="11"/>
      <c r="P316" s="10"/>
      <c r="Q316" s="11"/>
      <c r="R316" s="10"/>
      <c r="S316" s="10"/>
    </row>
    <row r="317" customFormat="false" ht="15" hidden="false" customHeight="true" outlineLevel="0" collapsed="false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10"/>
      <c r="M317" s="10"/>
      <c r="N317" s="10"/>
      <c r="O317" s="11"/>
      <c r="P317" s="10"/>
      <c r="Q317" s="11"/>
      <c r="R317" s="10"/>
      <c r="S317" s="10"/>
    </row>
    <row r="318" customFormat="false" ht="15" hidden="false" customHeight="true" outlineLevel="0" collapsed="false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10"/>
      <c r="M318" s="10"/>
      <c r="N318" s="10"/>
      <c r="O318" s="11"/>
      <c r="P318" s="10"/>
      <c r="Q318" s="11"/>
      <c r="R318" s="10"/>
      <c r="S318" s="10"/>
    </row>
    <row r="319" customFormat="false" ht="15" hidden="false" customHeight="true" outlineLevel="0" collapsed="false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10"/>
      <c r="M319" s="10"/>
      <c r="N319" s="10"/>
      <c r="O319" s="11"/>
      <c r="P319" s="10"/>
      <c r="Q319" s="11"/>
      <c r="R319" s="10"/>
      <c r="S319" s="10"/>
    </row>
    <row r="320" customFormat="false" ht="15" hidden="false" customHeight="true" outlineLevel="0" collapsed="false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10"/>
      <c r="M320" s="10"/>
      <c r="N320" s="10"/>
      <c r="O320" s="11"/>
      <c r="P320" s="10"/>
      <c r="Q320" s="11"/>
      <c r="R320" s="10"/>
      <c r="S320" s="10"/>
    </row>
    <row r="321" customFormat="false" ht="15" hidden="false" customHeight="true" outlineLevel="0" collapsed="false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10"/>
      <c r="M321" s="10"/>
      <c r="N321" s="10"/>
      <c r="O321" s="11"/>
      <c r="P321" s="10"/>
      <c r="Q321" s="11"/>
      <c r="R321" s="10"/>
      <c r="S321" s="10"/>
    </row>
    <row r="322" customFormat="false" ht="15" hidden="false" customHeight="true" outlineLevel="0" collapsed="false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10"/>
      <c r="M322" s="10"/>
      <c r="N322" s="10"/>
      <c r="O322" s="11"/>
      <c r="P322" s="10"/>
      <c r="Q322" s="11"/>
      <c r="R322" s="10"/>
      <c r="S322" s="10"/>
    </row>
    <row r="323" customFormat="false" ht="15" hidden="false" customHeight="true" outlineLevel="0" collapsed="false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10"/>
      <c r="M323" s="10"/>
      <c r="N323" s="10"/>
      <c r="O323" s="11"/>
      <c r="P323" s="10"/>
      <c r="Q323" s="11"/>
      <c r="R323" s="10"/>
      <c r="S323" s="10"/>
    </row>
    <row r="324" customFormat="false" ht="15" hidden="false" customHeight="true" outlineLevel="0" collapsed="false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10"/>
      <c r="M324" s="10"/>
      <c r="N324" s="10"/>
      <c r="O324" s="11"/>
      <c r="P324" s="10"/>
      <c r="Q324" s="11"/>
      <c r="R324" s="10"/>
      <c r="S324" s="10"/>
    </row>
    <row r="325" customFormat="false" ht="15" hidden="false" customHeight="true" outlineLevel="0" collapsed="false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10"/>
      <c r="M325" s="10"/>
      <c r="N325" s="10"/>
      <c r="O325" s="11"/>
      <c r="P325" s="10"/>
      <c r="Q325" s="11"/>
      <c r="R325" s="10"/>
      <c r="S325" s="10"/>
    </row>
    <row r="326" customFormat="false" ht="15" hidden="false" customHeight="true" outlineLevel="0" collapsed="false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10"/>
      <c r="M326" s="10"/>
      <c r="N326" s="10"/>
      <c r="O326" s="11"/>
      <c r="P326" s="10"/>
      <c r="Q326" s="11"/>
      <c r="R326" s="10"/>
      <c r="S326" s="10"/>
    </row>
    <row r="327" customFormat="false" ht="15" hidden="false" customHeight="true" outlineLevel="0" collapsed="false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10"/>
      <c r="M327" s="10"/>
      <c r="N327" s="10"/>
      <c r="O327" s="11"/>
      <c r="P327" s="10"/>
      <c r="Q327" s="11"/>
      <c r="R327" s="10"/>
      <c r="S327" s="10"/>
    </row>
    <row r="328" customFormat="false" ht="15" hidden="false" customHeight="true" outlineLevel="0" collapsed="false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10"/>
      <c r="M328" s="10"/>
      <c r="N328" s="10"/>
      <c r="O328" s="11"/>
      <c r="P328" s="10"/>
      <c r="Q328" s="11"/>
      <c r="R328" s="10"/>
      <c r="S328" s="10"/>
    </row>
    <row r="329" customFormat="false" ht="15" hidden="false" customHeight="true" outlineLevel="0" collapsed="false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10"/>
      <c r="M329" s="10"/>
      <c r="N329" s="10"/>
      <c r="O329" s="11"/>
      <c r="P329" s="10"/>
      <c r="Q329" s="11"/>
      <c r="R329" s="10"/>
      <c r="S329" s="10"/>
    </row>
    <row r="330" customFormat="false" ht="15" hidden="false" customHeight="true" outlineLevel="0" collapsed="false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10"/>
      <c r="M330" s="10"/>
      <c r="N330" s="10"/>
      <c r="O330" s="11"/>
      <c r="P330" s="10"/>
      <c r="Q330" s="11"/>
      <c r="R330" s="10"/>
      <c r="S330" s="10"/>
    </row>
    <row r="331" customFormat="false" ht="15" hidden="false" customHeight="true" outlineLevel="0" collapsed="false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10"/>
      <c r="M331" s="10"/>
      <c r="N331" s="10"/>
      <c r="O331" s="11"/>
      <c r="P331" s="10"/>
      <c r="Q331" s="11"/>
      <c r="R331" s="10"/>
      <c r="S331" s="10"/>
    </row>
    <row r="332" customFormat="false" ht="15" hidden="false" customHeight="true" outlineLevel="0" collapsed="false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10"/>
      <c r="M332" s="10"/>
      <c r="N332" s="10"/>
      <c r="O332" s="11"/>
      <c r="P332" s="10"/>
      <c r="Q332" s="11"/>
      <c r="R332" s="10"/>
      <c r="S332" s="10"/>
    </row>
    <row r="333" customFormat="false" ht="15" hidden="false" customHeight="true" outlineLevel="0" collapsed="false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10"/>
      <c r="M333" s="10"/>
      <c r="N333" s="10"/>
      <c r="O333" s="11"/>
      <c r="P333" s="10"/>
      <c r="Q333" s="11"/>
      <c r="R333" s="10"/>
      <c r="S333" s="10"/>
    </row>
    <row r="334" customFormat="false" ht="15" hidden="false" customHeight="true" outlineLevel="0" collapsed="false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10"/>
      <c r="M334" s="10"/>
      <c r="N334" s="10"/>
      <c r="O334" s="11"/>
      <c r="P334" s="10"/>
      <c r="Q334" s="11"/>
      <c r="R334" s="10"/>
      <c r="S334" s="10"/>
    </row>
    <row r="335" customFormat="false" ht="15" hidden="false" customHeight="true" outlineLevel="0" collapsed="false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10"/>
      <c r="M335" s="10"/>
      <c r="N335" s="10"/>
      <c r="O335" s="11"/>
      <c r="P335" s="10"/>
      <c r="Q335" s="11"/>
      <c r="R335" s="10"/>
      <c r="S335" s="10"/>
    </row>
    <row r="336" customFormat="false" ht="15" hidden="false" customHeight="true" outlineLevel="0" collapsed="false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10"/>
      <c r="M336" s="10"/>
      <c r="N336" s="10"/>
      <c r="O336" s="11"/>
      <c r="P336" s="10"/>
      <c r="Q336" s="11"/>
      <c r="R336" s="10"/>
      <c r="S336" s="10"/>
    </row>
    <row r="337" customFormat="false" ht="15" hidden="false" customHeight="true" outlineLevel="0" collapsed="false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10"/>
      <c r="M337" s="10"/>
      <c r="N337" s="10"/>
      <c r="O337" s="11"/>
      <c r="P337" s="10"/>
      <c r="Q337" s="11"/>
      <c r="R337" s="10"/>
      <c r="S337" s="10"/>
    </row>
    <row r="338" customFormat="false" ht="15" hidden="false" customHeight="true" outlineLevel="0" collapsed="false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10"/>
      <c r="M338" s="10"/>
      <c r="N338" s="10"/>
      <c r="O338" s="11"/>
      <c r="P338" s="10"/>
      <c r="Q338" s="11"/>
      <c r="R338" s="10"/>
      <c r="S338" s="10"/>
    </row>
    <row r="339" customFormat="false" ht="15" hidden="false" customHeight="true" outlineLevel="0" collapsed="false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10"/>
      <c r="M339" s="10"/>
      <c r="N339" s="10"/>
      <c r="O339" s="11"/>
      <c r="P339" s="10"/>
      <c r="Q339" s="11"/>
      <c r="R339" s="10"/>
      <c r="S339" s="10"/>
    </row>
    <row r="340" customFormat="false" ht="15" hidden="false" customHeight="true" outlineLevel="0" collapsed="false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10"/>
      <c r="M340" s="10"/>
      <c r="N340" s="10"/>
      <c r="O340" s="11"/>
      <c r="P340" s="10"/>
      <c r="Q340" s="11"/>
      <c r="R340" s="10"/>
      <c r="S340" s="10"/>
    </row>
    <row r="341" customFormat="false" ht="15" hidden="false" customHeight="true" outlineLevel="0" collapsed="false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10"/>
      <c r="M341" s="10"/>
      <c r="N341" s="10"/>
      <c r="O341" s="11"/>
      <c r="P341" s="10"/>
      <c r="Q341" s="11"/>
      <c r="R341" s="10"/>
      <c r="S341" s="10"/>
    </row>
    <row r="342" customFormat="false" ht="15" hidden="false" customHeight="true" outlineLevel="0" collapsed="false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10"/>
      <c r="M342" s="10"/>
      <c r="N342" s="10"/>
      <c r="O342" s="11"/>
      <c r="P342" s="10"/>
      <c r="Q342" s="11"/>
      <c r="R342" s="10"/>
      <c r="S342" s="10"/>
    </row>
    <row r="343" customFormat="false" ht="15" hidden="false" customHeight="true" outlineLevel="0" collapsed="false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10"/>
      <c r="M343" s="10"/>
      <c r="N343" s="10"/>
      <c r="O343" s="11"/>
      <c r="P343" s="10"/>
      <c r="Q343" s="11"/>
      <c r="R343" s="10"/>
      <c r="S343" s="10"/>
    </row>
    <row r="344" customFormat="false" ht="15" hidden="false" customHeight="true" outlineLevel="0" collapsed="false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10"/>
      <c r="M344" s="10"/>
      <c r="N344" s="10"/>
      <c r="O344" s="11"/>
      <c r="P344" s="10"/>
      <c r="Q344" s="11"/>
      <c r="R344" s="10"/>
      <c r="S344" s="10"/>
    </row>
    <row r="345" customFormat="false" ht="15" hidden="false" customHeight="true" outlineLevel="0" collapsed="false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10"/>
      <c r="M345" s="10"/>
      <c r="N345" s="10"/>
      <c r="O345" s="11"/>
      <c r="P345" s="10"/>
      <c r="Q345" s="11"/>
      <c r="R345" s="10"/>
      <c r="S345" s="10"/>
    </row>
    <row r="346" customFormat="false" ht="15" hidden="false" customHeight="true" outlineLevel="0" collapsed="false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10"/>
      <c r="M346" s="10"/>
      <c r="N346" s="10"/>
      <c r="O346" s="11"/>
      <c r="P346" s="10"/>
      <c r="Q346" s="11"/>
      <c r="R346" s="10"/>
      <c r="S346" s="10"/>
    </row>
    <row r="347" customFormat="false" ht="15" hidden="false" customHeight="true" outlineLevel="0" collapsed="false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10"/>
      <c r="M347" s="10"/>
      <c r="N347" s="10"/>
      <c r="O347" s="11"/>
      <c r="P347" s="10"/>
      <c r="Q347" s="11"/>
      <c r="R347" s="10"/>
      <c r="S347" s="10"/>
    </row>
    <row r="348" customFormat="false" ht="15" hidden="false" customHeight="true" outlineLevel="0" collapsed="false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10"/>
      <c r="M348" s="10"/>
      <c r="N348" s="10"/>
      <c r="O348" s="11"/>
      <c r="P348" s="10"/>
      <c r="Q348" s="11"/>
      <c r="R348" s="10"/>
      <c r="S348" s="10"/>
    </row>
    <row r="349" customFormat="false" ht="15" hidden="false" customHeight="true" outlineLevel="0" collapsed="false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10"/>
      <c r="M349" s="10"/>
      <c r="N349" s="10"/>
      <c r="O349" s="11"/>
      <c r="P349" s="10"/>
      <c r="Q349" s="11"/>
      <c r="R349" s="10"/>
      <c r="S349" s="10"/>
    </row>
    <row r="350" customFormat="false" ht="15" hidden="false" customHeight="true" outlineLevel="0" collapsed="false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10"/>
      <c r="M350" s="10"/>
      <c r="N350" s="10"/>
      <c r="O350" s="11"/>
      <c r="P350" s="10"/>
      <c r="Q350" s="11"/>
      <c r="R350" s="10"/>
      <c r="S350" s="10"/>
    </row>
    <row r="351" customFormat="false" ht="15" hidden="false" customHeight="true" outlineLevel="0" collapsed="false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10"/>
      <c r="M351" s="10"/>
      <c r="N351" s="10"/>
      <c r="O351" s="11"/>
      <c r="P351" s="10"/>
      <c r="Q351" s="11"/>
      <c r="R351" s="10"/>
      <c r="S351" s="10"/>
    </row>
    <row r="352" customFormat="false" ht="15" hidden="false" customHeight="true" outlineLevel="0" collapsed="false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10"/>
      <c r="M352" s="10"/>
      <c r="N352" s="10"/>
      <c r="O352" s="11"/>
      <c r="P352" s="10"/>
      <c r="Q352" s="11"/>
      <c r="R352" s="10"/>
      <c r="S352" s="10"/>
    </row>
    <row r="353" customFormat="false" ht="15" hidden="false" customHeight="true" outlineLevel="0" collapsed="false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10"/>
      <c r="M353" s="10"/>
      <c r="N353" s="10"/>
      <c r="O353" s="11"/>
      <c r="P353" s="10"/>
      <c r="Q353" s="11"/>
      <c r="R353" s="10"/>
      <c r="S353" s="10"/>
    </row>
    <row r="354" customFormat="false" ht="15" hidden="false" customHeight="true" outlineLevel="0" collapsed="false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10"/>
      <c r="M354" s="10"/>
      <c r="N354" s="10"/>
      <c r="O354" s="11"/>
      <c r="P354" s="10"/>
      <c r="Q354" s="11"/>
      <c r="R354" s="10"/>
      <c r="S354" s="10"/>
    </row>
    <row r="355" customFormat="false" ht="15" hidden="false" customHeight="true" outlineLevel="0" collapsed="false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10"/>
      <c r="M355" s="10"/>
      <c r="N355" s="10"/>
      <c r="O355" s="11"/>
      <c r="P355" s="10"/>
      <c r="Q355" s="11"/>
      <c r="R355" s="10"/>
      <c r="S355" s="10"/>
    </row>
    <row r="356" customFormat="false" ht="15" hidden="false" customHeight="true" outlineLevel="0" collapsed="false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10"/>
      <c r="M356" s="10"/>
      <c r="N356" s="10"/>
      <c r="O356" s="11"/>
      <c r="P356" s="10"/>
      <c r="Q356" s="11"/>
      <c r="R356" s="10"/>
      <c r="S356" s="10"/>
    </row>
    <row r="357" customFormat="false" ht="15" hidden="false" customHeight="true" outlineLevel="0" collapsed="false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10"/>
      <c r="M357" s="10"/>
      <c r="N357" s="10"/>
      <c r="O357" s="11"/>
      <c r="P357" s="10"/>
      <c r="Q357" s="11"/>
      <c r="R357" s="10"/>
      <c r="S357" s="10"/>
    </row>
    <row r="358" customFormat="false" ht="15" hidden="false" customHeight="true" outlineLevel="0" collapsed="false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10"/>
      <c r="M358" s="10"/>
      <c r="N358" s="10"/>
      <c r="O358" s="11"/>
      <c r="P358" s="10"/>
      <c r="Q358" s="11"/>
      <c r="R358" s="10"/>
      <c r="S358" s="10"/>
    </row>
    <row r="359" customFormat="false" ht="15" hidden="false" customHeight="true" outlineLevel="0" collapsed="false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10"/>
      <c r="M359" s="10"/>
      <c r="N359" s="10"/>
      <c r="O359" s="11"/>
      <c r="P359" s="10"/>
      <c r="Q359" s="11"/>
      <c r="R359" s="10"/>
      <c r="S359" s="10"/>
    </row>
    <row r="360" customFormat="false" ht="15" hidden="false" customHeight="true" outlineLevel="0" collapsed="false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10"/>
      <c r="M360" s="10"/>
      <c r="N360" s="10"/>
      <c r="O360" s="11"/>
      <c r="P360" s="10"/>
      <c r="Q360" s="11"/>
      <c r="R360" s="10"/>
      <c r="S360" s="10"/>
    </row>
    <row r="361" customFormat="false" ht="15" hidden="false" customHeight="true" outlineLevel="0" collapsed="false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10"/>
      <c r="M361" s="10"/>
      <c r="N361" s="10"/>
      <c r="O361" s="11"/>
      <c r="P361" s="10"/>
      <c r="Q361" s="11"/>
      <c r="R361" s="10"/>
      <c r="S361" s="10"/>
    </row>
    <row r="362" customFormat="false" ht="15" hidden="false" customHeight="true" outlineLevel="0" collapsed="false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10"/>
      <c r="M362" s="10"/>
      <c r="N362" s="10"/>
      <c r="O362" s="11"/>
      <c r="P362" s="10"/>
      <c r="Q362" s="11"/>
      <c r="R362" s="10"/>
      <c r="S362" s="10"/>
    </row>
    <row r="363" customFormat="false" ht="15" hidden="false" customHeight="true" outlineLevel="0" collapsed="false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10"/>
      <c r="M363" s="10"/>
      <c r="N363" s="10"/>
      <c r="O363" s="11"/>
      <c r="P363" s="10"/>
      <c r="Q363" s="11"/>
      <c r="R363" s="10"/>
      <c r="S363" s="10"/>
    </row>
    <row r="364" customFormat="false" ht="15" hidden="false" customHeight="true" outlineLevel="0" collapsed="false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10"/>
      <c r="M364" s="10"/>
      <c r="N364" s="10"/>
      <c r="O364" s="11"/>
      <c r="P364" s="10"/>
      <c r="Q364" s="11"/>
      <c r="R364" s="10"/>
      <c r="S364" s="10"/>
    </row>
    <row r="365" customFormat="false" ht="15" hidden="false" customHeight="true" outlineLevel="0" collapsed="false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10"/>
      <c r="M365" s="10"/>
      <c r="N365" s="10"/>
      <c r="O365" s="11"/>
      <c r="P365" s="10"/>
      <c r="Q365" s="11"/>
      <c r="R365" s="10"/>
      <c r="S365" s="10"/>
    </row>
    <row r="366" customFormat="false" ht="15" hidden="false" customHeight="true" outlineLevel="0" collapsed="false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10"/>
      <c r="M366" s="10"/>
      <c r="N366" s="10"/>
      <c r="O366" s="11"/>
      <c r="P366" s="10"/>
      <c r="Q366" s="11"/>
      <c r="R366" s="10"/>
      <c r="S366" s="10"/>
    </row>
    <row r="367" customFormat="false" ht="15" hidden="false" customHeight="true" outlineLevel="0" collapsed="false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10"/>
      <c r="M367" s="10"/>
      <c r="N367" s="10"/>
      <c r="O367" s="11"/>
      <c r="P367" s="10"/>
      <c r="Q367" s="11"/>
      <c r="R367" s="10"/>
      <c r="S367" s="10"/>
    </row>
    <row r="368" customFormat="false" ht="15" hidden="false" customHeight="true" outlineLevel="0" collapsed="false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10"/>
      <c r="M368" s="10"/>
      <c r="N368" s="10"/>
      <c r="O368" s="11"/>
      <c r="P368" s="10"/>
      <c r="Q368" s="11"/>
      <c r="R368" s="10"/>
      <c r="S368" s="10"/>
    </row>
    <row r="369" customFormat="false" ht="15" hidden="false" customHeight="true" outlineLevel="0" collapsed="false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10"/>
      <c r="M369" s="10"/>
      <c r="N369" s="10"/>
      <c r="O369" s="11"/>
      <c r="P369" s="10"/>
      <c r="Q369" s="11"/>
      <c r="R369" s="10"/>
      <c r="S369" s="10"/>
    </row>
    <row r="370" customFormat="false" ht="15" hidden="false" customHeight="true" outlineLevel="0" collapsed="false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10"/>
      <c r="M370" s="10"/>
      <c r="N370" s="10"/>
      <c r="O370" s="11"/>
      <c r="P370" s="10"/>
      <c r="Q370" s="11"/>
      <c r="R370" s="10"/>
      <c r="S370" s="10"/>
    </row>
    <row r="371" customFormat="false" ht="15" hidden="false" customHeight="true" outlineLevel="0" collapsed="false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10"/>
      <c r="M371" s="10"/>
      <c r="N371" s="10"/>
      <c r="O371" s="11"/>
      <c r="P371" s="10"/>
      <c r="Q371" s="11"/>
      <c r="R371" s="10"/>
      <c r="S371" s="10"/>
    </row>
    <row r="372" customFormat="false" ht="15" hidden="false" customHeight="true" outlineLevel="0" collapsed="false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10"/>
      <c r="M372" s="10"/>
      <c r="N372" s="10"/>
      <c r="O372" s="11"/>
      <c r="P372" s="10"/>
      <c r="Q372" s="11"/>
      <c r="R372" s="10"/>
      <c r="S372" s="10"/>
    </row>
    <row r="373" customFormat="false" ht="15" hidden="false" customHeight="true" outlineLevel="0" collapsed="false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10"/>
      <c r="M373" s="10"/>
      <c r="N373" s="10"/>
      <c r="O373" s="11"/>
      <c r="P373" s="10"/>
      <c r="Q373" s="11"/>
      <c r="R373" s="10"/>
      <c r="S373" s="10"/>
    </row>
    <row r="374" customFormat="false" ht="15" hidden="false" customHeight="true" outlineLevel="0" collapsed="false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10"/>
      <c r="M374" s="10"/>
      <c r="N374" s="10"/>
      <c r="O374" s="11"/>
      <c r="P374" s="10"/>
      <c r="Q374" s="11"/>
      <c r="R374" s="10"/>
      <c r="S374" s="10"/>
    </row>
    <row r="375" customFormat="false" ht="15" hidden="false" customHeight="true" outlineLevel="0" collapsed="false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10"/>
      <c r="M375" s="10"/>
      <c r="N375" s="10"/>
      <c r="O375" s="11"/>
      <c r="P375" s="10"/>
      <c r="Q375" s="11"/>
      <c r="R375" s="10"/>
      <c r="S375" s="10"/>
    </row>
    <row r="376" customFormat="false" ht="15" hidden="false" customHeight="true" outlineLevel="0" collapsed="false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10"/>
      <c r="M376" s="10"/>
      <c r="N376" s="10"/>
      <c r="O376" s="11"/>
      <c r="P376" s="10"/>
      <c r="Q376" s="11"/>
      <c r="R376" s="10"/>
      <c r="S376" s="10"/>
    </row>
    <row r="377" customFormat="false" ht="15" hidden="false" customHeight="true" outlineLevel="0" collapsed="false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10"/>
      <c r="M377" s="10"/>
      <c r="N377" s="10"/>
      <c r="O377" s="11"/>
      <c r="P377" s="10"/>
      <c r="Q377" s="11"/>
      <c r="R377" s="10"/>
      <c r="S377" s="10"/>
    </row>
    <row r="378" customFormat="false" ht="15" hidden="false" customHeight="true" outlineLevel="0" collapsed="false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10"/>
      <c r="M378" s="10"/>
      <c r="N378" s="10"/>
      <c r="O378" s="11"/>
      <c r="P378" s="10"/>
      <c r="Q378" s="11"/>
      <c r="R378" s="10"/>
      <c r="S378" s="10"/>
    </row>
    <row r="379" customFormat="false" ht="15" hidden="false" customHeight="true" outlineLevel="0" collapsed="false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10"/>
      <c r="M379" s="10"/>
      <c r="N379" s="10"/>
      <c r="O379" s="11"/>
      <c r="P379" s="10"/>
      <c r="Q379" s="11"/>
      <c r="R379" s="10"/>
      <c r="S379" s="10"/>
    </row>
    <row r="380" customFormat="false" ht="15" hidden="false" customHeight="true" outlineLevel="0" collapsed="false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10"/>
      <c r="M380" s="10"/>
      <c r="N380" s="10"/>
      <c r="O380" s="11"/>
      <c r="P380" s="10"/>
      <c r="Q380" s="11"/>
      <c r="R380" s="10"/>
      <c r="S380" s="10"/>
    </row>
    <row r="381" customFormat="false" ht="15" hidden="false" customHeight="true" outlineLevel="0" collapsed="false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10"/>
      <c r="M381" s="10"/>
      <c r="N381" s="10"/>
      <c r="O381" s="11"/>
      <c r="P381" s="10"/>
      <c r="Q381" s="11"/>
      <c r="R381" s="10"/>
      <c r="S381" s="10"/>
    </row>
    <row r="382" customFormat="false" ht="15" hidden="false" customHeight="true" outlineLevel="0" collapsed="false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10"/>
      <c r="M382" s="10"/>
      <c r="N382" s="10"/>
      <c r="O382" s="11"/>
      <c r="P382" s="10"/>
      <c r="Q382" s="11"/>
      <c r="R382" s="10"/>
      <c r="S382" s="10"/>
    </row>
    <row r="383" customFormat="false" ht="15" hidden="false" customHeight="true" outlineLevel="0" collapsed="false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10"/>
      <c r="M383" s="10"/>
      <c r="N383" s="10"/>
      <c r="O383" s="11"/>
      <c r="P383" s="10"/>
      <c r="Q383" s="11"/>
      <c r="R383" s="10"/>
      <c r="S383" s="10"/>
    </row>
    <row r="384" customFormat="false" ht="15" hidden="false" customHeight="true" outlineLevel="0" collapsed="false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10"/>
      <c r="M384" s="10"/>
      <c r="N384" s="10"/>
      <c r="O384" s="11"/>
      <c r="P384" s="10"/>
      <c r="Q384" s="11"/>
      <c r="R384" s="10"/>
      <c r="S384" s="10"/>
    </row>
    <row r="385" customFormat="false" ht="15" hidden="false" customHeight="true" outlineLevel="0" collapsed="false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10"/>
      <c r="M385" s="10"/>
      <c r="N385" s="10"/>
      <c r="O385" s="11"/>
      <c r="P385" s="10"/>
      <c r="Q385" s="11"/>
      <c r="R385" s="10"/>
      <c r="S385" s="10"/>
    </row>
    <row r="386" customFormat="false" ht="15" hidden="false" customHeight="true" outlineLevel="0" collapsed="false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10"/>
      <c r="M386" s="10"/>
      <c r="N386" s="10"/>
      <c r="O386" s="11"/>
      <c r="P386" s="10"/>
      <c r="Q386" s="11"/>
      <c r="R386" s="10"/>
      <c r="S386" s="10"/>
    </row>
    <row r="387" customFormat="false" ht="15" hidden="false" customHeight="true" outlineLevel="0" collapsed="false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10"/>
      <c r="M387" s="10"/>
      <c r="N387" s="10"/>
      <c r="O387" s="11"/>
      <c r="P387" s="10"/>
      <c r="Q387" s="11"/>
      <c r="R387" s="10"/>
      <c r="S387" s="10"/>
    </row>
    <row r="388" customFormat="false" ht="15" hidden="false" customHeight="true" outlineLevel="0" collapsed="false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10"/>
      <c r="M388" s="10"/>
      <c r="N388" s="10"/>
      <c r="O388" s="11"/>
      <c r="P388" s="10"/>
      <c r="Q388" s="11"/>
      <c r="R388" s="10"/>
      <c r="S388" s="10"/>
    </row>
    <row r="389" customFormat="false" ht="15" hidden="false" customHeight="true" outlineLevel="0" collapsed="false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10"/>
      <c r="M389" s="10"/>
      <c r="N389" s="10"/>
      <c r="O389" s="11"/>
      <c r="P389" s="10"/>
      <c r="Q389" s="11"/>
      <c r="R389" s="10"/>
      <c r="S389" s="10"/>
    </row>
    <row r="390" customFormat="false" ht="15" hidden="false" customHeight="true" outlineLevel="0" collapsed="false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10"/>
      <c r="M390" s="10"/>
      <c r="N390" s="10"/>
      <c r="O390" s="11"/>
      <c r="P390" s="10"/>
      <c r="Q390" s="11"/>
      <c r="R390" s="10"/>
      <c r="S390" s="10"/>
    </row>
    <row r="391" customFormat="false" ht="15" hidden="false" customHeight="true" outlineLevel="0" collapsed="false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10"/>
      <c r="M391" s="10"/>
      <c r="N391" s="10"/>
      <c r="O391" s="11"/>
      <c r="P391" s="10"/>
      <c r="Q391" s="11"/>
      <c r="R391" s="10"/>
      <c r="S391" s="10"/>
    </row>
    <row r="392" customFormat="false" ht="15" hidden="false" customHeight="true" outlineLevel="0" collapsed="false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10"/>
      <c r="M392" s="10"/>
      <c r="N392" s="10"/>
      <c r="O392" s="11"/>
      <c r="P392" s="10"/>
      <c r="Q392" s="11"/>
      <c r="R392" s="10"/>
      <c r="S392" s="10"/>
    </row>
    <row r="393" customFormat="false" ht="15" hidden="false" customHeight="true" outlineLevel="0" collapsed="false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10"/>
      <c r="M393" s="10"/>
      <c r="N393" s="10"/>
      <c r="O393" s="11"/>
      <c r="P393" s="10"/>
      <c r="Q393" s="11"/>
      <c r="R393" s="10"/>
      <c r="S393" s="10"/>
    </row>
    <row r="394" customFormat="false" ht="15" hidden="false" customHeight="true" outlineLevel="0" collapsed="false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10"/>
      <c r="M394" s="10"/>
      <c r="N394" s="10"/>
      <c r="O394" s="11"/>
      <c r="P394" s="10"/>
      <c r="Q394" s="11"/>
      <c r="R394" s="10"/>
      <c r="S394" s="10"/>
    </row>
    <row r="395" customFormat="false" ht="15" hidden="false" customHeight="true" outlineLevel="0" collapsed="false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10"/>
      <c r="M395" s="10"/>
      <c r="N395" s="10"/>
      <c r="O395" s="11"/>
      <c r="P395" s="10"/>
      <c r="Q395" s="11"/>
      <c r="R395" s="10"/>
      <c r="S395" s="10"/>
    </row>
    <row r="396" customFormat="false" ht="15" hidden="false" customHeight="true" outlineLevel="0" collapsed="false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10"/>
      <c r="M396" s="10"/>
      <c r="N396" s="10"/>
      <c r="O396" s="11"/>
      <c r="P396" s="10"/>
      <c r="Q396" s="11"/>
      <c r="R396" s="10"/>
      <c r="S396" s="10"/>
    </row>
    <row r="397" customFormat="false" ht="15" hidden="false" customHeight="true" outlineLevel="0" collapsed="false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10"/>
      <c r="M397" s="10"/>
      <c r="N397" s="10"/>
      <c r="O397" s="11"/>
      <c r="P397" s="10"/>
      <c r="Q397" s="11"/>
      <c r="R397" s="10"/>
      <c r="S397" s="10"/>
    </row>
    <row r="398" customFormat="false" ht="15" hidden="false" customHeight="true" outlineLevel="0" collapsed="false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10"/>
      <c r="M398" s="10"/>
      <c r="N398" s="10"/>
      <c r="O398" s="11"/>
      <c r="P398" s="10"/>
      <c r="Q398" s="11"/>
      <c r="R398" s="10"/>
      <c r="S398" s="10"/>
    </row>
    <row r="399" customFormat="false" ht="15" hidden="false" customHeight="true" outlineLevel="0" collapsed="false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10"/>
      <c r="M399" s="10"/>
      <c r="N399" s="10"/>
      <c r="O399" s="11"/>
      <c r="P399" s="10"/>
      <c r="Q399" s="11"/>
      <c r="R399" s="10"/>
      <c r="S399" s="10"/>
    </row>
    <row r="400" customFormat="false" ht="15" hidden="false" customHeight="true" outlineLevel="0" collapsed="false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10"/>
      <c r="M400" s="10"/>
      <c r="N400" s="10"/>
      <c r="O400" s="11"/>
      <c r="P400" s="10"/>
      <c r="Q400" s="11"/>
      <c r="R400" s="10"/>
      <c r="S400" s="10"/>
    </row>
    <row r="401" customFormat="false" ht="15" hidden="false" customHeight="true" outlineLevel="0" collapsed="false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10"/>
      <c r="M401" s="10"/>
      <c r="N401" s="10"/>
      <c r="O401" s="11"/>
      <c r="P401" s="10"/>
      <c r="Q401" s="11"/>
      <c r="R401" s="10"/>
      <c r="S401" s="10"/>
    </row>
    <row r="402" customFormat="false" ht="15" hidden="false" customHeight="true" outlineLevel="0" collapsed="false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10"/>
      <c r="M402" s="10"/>
      <c r="N402" s="10"/>
      <c r="O402" s="11"/>
      <c r="P402" s="10"/>
      <c r="Q402" s="11"/>
      <c r="R402" s="10"/>
      <c r="S402" s="10"/>
    </row>
    <row r="403" customFormat="false" ht="15" hidden="false" customHeight="true" outlineLevel="0" collapsed="false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10"/>
      <c r="M403" s="10"/>
      <c r="N403" s="10"/>
      <c r="O403" s="11"/>
      <c r="P403" s="10"/>
      <c r="Q403" s="11"/>
      <c r="R403" s="10"/>
      <c r="S403" s="10"/>
    </row>
    <row r="404" customFormat="false" ht="15" hidden="false" customHeight="true" outlineLevel="0" collapsed="false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10"/>
      <c r="M404" s="10"/>
      <c r="N404" s="10"/>
      <c r="O404" s="11"/>
      <c r="P404" s="10"/>
      <c r="Q404" s="11"/>
      <c r="R404" s="10"/>
      <c r="S404" s="10"/>
    </row>
    <row r="405" customFormat="false" ht="15" hidden="false" customHeight="true" outlineLevel="0" collapsed="false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10"/>
      <c r="M405" s="10"/>
      <c r="N405" s="10"/>
      <c r="O405" s="11"/>
      <c r="P405" s="10"/>
      <c r="Q405" s="11"/>
      <c r="R405" s="10"/>
      <c r="S405" s="10"/>
    </row>
    <row r="406" customFormat="false" ht="15" hidden="false" customHeight="true" outlineLevel="0" collapsed="false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10"/>
      <c r="M406" s="10"/>
      <c r="N406" s="10"/>
      <c r="O406" s="11"/>
      <c r="P406" s="10"/>
      <c r="Q406" s="11"/>
      <c r="R406" s="10"/>
      <c r="S406" s="10"/>
    </row>
    <row r="407" customFormat="false" ht="15" hidden="false" customHeight="true" outlineLevel="0" collapsed="false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10"/>
      <c r="M407" s="10"/>
      <c r="N407" s="10"/>
      <c r="O407" s="11"/>
      <c r="P407" s="10"/>
      <c r="Q407" s="11"/>
      <c r="R407" s="10"/>
      <c r="S407" s="10"/>
    </row>
    <row r="408" customFormat="false" ht="15" hidden="false" customHeight="true" outlineLevel="0" collapsed="false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10"/>
      <c r="M408" s="10"/>
      <c r="N408" s="10"/>
      <c r="O408" s="11"/>
      <c r="P408" s="10"/>
      <c r="Q408" s="11"/>
      <c r="R408" s="10"/>
      <c r="S408" s="10"/>
    </row>
    <row r="409" customFormat="false" ht="15" hidden="false" customHeight="true" outlineLevel="0" collapsed="false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10"/>
      <c r="M409" s="10"/>
      <c r="N409" s="10"/>
      <c r="O409" s="11"/>
      <c r="P409" s="10"/>
      <c r="Q409" s="11"/>
      <c r="R409" s="10"/>
      <c r="S409" s="10"/>
    </row>
    <row r="410" customFormat="false" ht="15" hidden="false" customHeight="true" outlineLevel="0" collapsed="false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10"/>
      <c r="M410" s="10"/>
      <c r="N410" s="10"/>
      <c r="O410" s="11"/>
      <c r="P410" s="10"/>
      <c r="Q410" s="11"/>
      <c r="R410" s="10"/>
      <c r="S410" s="10"/>
    </row>
    <row r="411" customFormat="false" ht="15" hidden="false" customHeight="true" outlineLevel="0" collapsed="false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10"/>
      <c r="M411" s="10"/>
      <c r="N411" s="10"/>
      <c r="O411" s="11"/>
      <c r="P411" s="10"/>
      <c r="Q411" s="11"/>
      <c r="R411" s="10"/>
      <c r="S411" s="10"/>
    </row>
    <row r="412" customFormat="false" ht="15" hidden="false" customHeight="true" outlineLevel="0" collapsed="false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10"/>
      <c r="M412" s="10"/>
      <c r="N412" s="10"/>
      <c r="O412" s="11"/>
      <c r="P412" s="10"/>
      <c r="Q412" s="11"/>
      <c r="R412" s="10"/>
      <c r="S412" s="10"/>
    </row>
    <row r="413" customFormat="false" ht="15" hidden="false" customHeight="true" outlineLevel="0" collapsed="false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10"/>
      <c r="M413" s="10"/>
      <c r="N413" s="10"/>
      <c r="O413" s="11"/>
      <c r="P413" s="10"/>
      <c r="Q413" s="11"/>
      <c r="R413" s="10"/>
      <c r="S413" s="10"/>
    </row>
    <row r="414" customFormat="false" ht="15" hidden="false" customHeight="true" outlineLevel="0" collapsed="false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10"/>
      <c r="M414" s="10"/>
      <c r="N414" s="10"/>
      <c r="O414" s="11"/>
      <c r="P414" s="10"/>
      <c r="Q414" s="11"/>
      <c r="R414" s="10"/>
      <c r="S414" s="10"/>
    </row>
    <row r="415" customFormat="false" ht="15" hidden="false" customHeight="true" outlineLevel="0" collapsed="false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10"/>
      <c r="M415" s="10"/>
      <c r="N415" s="10"/>
      <c r="O415" s="11"/>
      <c r="P415" s="10"/>
      <c r="Q415" s="11"/>
      <c r="R415" s="10"/>
      <c r="S415" s="10"/>
    </row>
    <row r="416" customFormat="false" ht="15" hidden="false" customHeight="true" outlineLevel="0" collapsed="false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10"/>
      <c r="M416" s="10"/>
      <c r="N416" s="10"/>
      <c r="O416" s="11"/>
      <c r="P416" s="10"/>
      <c r="Q416" s="11"/>
      <c r="R416" s="10"/>
      <c r="S416" s="10"/>
    </row>
    <row r="417" customFormat="false" ht="15" hidden="false" customHeight="true" outlineLevel="0" collapsed="false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10"/>
      <c r="M417" s="10"/>
      <c r="N417" s="10"/>
      <c r="O417" s="11"/>
      <c r="P417" s="10"/>
      <c r="Q417" s="11"/>
      <c r="R417" s="10"/>
      <c r="S417" s="10"/>
    </row>
    <row r="418" customFormat="false" ht="15" hidden="false" customHeight="true" outlineLevel="0" collapsed="false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10"/>
      <c r="M418" s="10"/>
      <c r="N418" s="10"/>
      <c r="O418" s="11"/>
      <c r="P418" s="10"/>
      <c r="Q418" s="11"/>
      <c r="R418" s="10"/>
      <c r="S418" s="10"/>
    </row>
    <row r="419" customFormat="false" ht="15" hidden="false" customHeight="true" outlineLevel="0" collapsed="false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10"/>
      <c r="M419" s="10"/>
      <c r="N419" s="10"/>
      <c r="O419" s="11"/>
      <c r="P419" s="10"/>
      <c r="Q419" s="11"/>
      <c r="R419" s="10"/>
      <c r="S419" s="10"/>
    </row>
    <row r="420" customFormat="false" ht="15" hidden="false" customHeight="true" outlineLevel="0" collapsed="false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10"/>
      <c r="M420" s="10"/>
      <c r="N420" s="10"/>
      <c r="O420" s="11"/>
      <c r="P420" s="10"/>
      <c r="Q420" s="11"/>
      <c r="R420" s="10"/>
      <c r="S420" s="10"/>
    </row>
    <row r="421" customFormat="false" ht="15" hidden="false" customHeight="true" outlineLevel="0" collapsed="false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10"/>
      <c r="M421" s="10"/>
      <c r="N421" s="10"/>
      <c r="O421" s="11"/>
      <c r="P421" s="10"/>
      <c r="Q421" s="11"/>
      <c r="R421" s="10"/>
      <c r="S421" s="10"/>
    </row>
    <row r="422" customFormat="false" ht="15" hidden="false" customHeight="true" outlineLevel="0" collapsed="false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10"/>
      <c r="M422" s="10"/>
      <c r="N422" s="10"/>
      <c r="O422" s="11"/>
      <c r="P422" s="10"/>
      <c r="Q422" s="11"/>
      <c r="R422" s="10"/>
      <c r="S422" s="10"/>
    </row>
    <row r="423" customFormat="false" ht="15" hidden="false" customHeight="true" outlineLevel="0" collapsed="false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10"/>
      <c r="M423" s="10"/>
      <c r="N423" s="10"/>
      <c r="O423" s="11"/>
      <c r="P423" s="10"/>
      <c r="Q423" s="11"/>
      <c r="R423" s="10"/>
      <c r="S423" s="10"/>
    </row>
    <row r="424" customFormat="false" ht="15" hidden="false" customHeight="true" outlineLevel="0" collapsed="false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10"/>
      <c r="M424" s="10"/>
      <c r="N424" s="10"/>
      <c r="O424" s="11"/>
      <c r="P424" s="10"/>
      <c r="Q424" s="11"/>
      <c r="R424" s="10"/>
      <c r="S424" s="10"/>
    </row>
    <row r="425" customFormat="false" ht="15" hidden="false" customHeight="true" outlineLevel="0" collapsed="false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10"/>
      <c r="M425" s="10"/>
      <c r="N425" s="10"/>
      <c r="O425" s="11"/>
      <c r="P425" s="10"/>
      <c r="Q425" s="11"/>
      <c r="R425" s="10"/>
      <c r="S425" s="10"/>
    </row>
    <row r="426" customFormat="false" ht="15" hidden="false" customHeight="true" outlineLevel="0" collapsed="false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10"/>
      <c r="M426" s="10"/>
      <c r="N426" s="10"/>
      <c r="O426" s="11"/>
      <c r="P426" s="10"/>
      <c r="Q426" s="11"/>
      <c r="R426" s="10"/>
      <c r="S426" s="10"/>
    </row>
    <row r="427" customFormat="false" ht="15" hidden="false" customHeight="true" outlineLevel="0" collapsed="false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10"/>
      <c r="M427" s="10"/>
      <c r="N427" s="10"/>
      <c r="O427" s="11"/>
      <c r="P427" s="10"/>
      <c r="Q427" s="11"/>
      <c r="R427" s="10"/>
      <c r="S427" s="10"/>
    </row>
    <row r="428" customFormat="false" ht="15" hidden="false" customHeight="true" outlineLevel="0" collapsed="false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10"/>
      <c r="M428" s="10"/>
      <c r="N428" s="10"/>
      <c r="O428" s="11"/>
      <c r="P428" s="10"/>
      <c r="Q428" s="11"/>
      <c r="R428" s="10"/>
      <c r="S428" s="10"/>
    </row>
    <row r="429" customFormat="false" ht="15" hidden="false" customHeight="true" outlineLevel="0" collapsed="false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10"/>
      <c r="M429" s="10"/>
      <c r="N429" s="10"/>
      <c r="O429" s="11"/>
      <c r="P429" s="10"/>
      <c r="Q429" s="11"/>
      <c r="R429" s="10"/>
      <c r="S429" s="10"/>
    </row>
    <row r="430" customFormat="false" ht="15" hidden="false" customHeight="true" outlineLevel="0" collapsed="false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10"/>
      <c r="M430" s="10"/>
      <c r="N430" s="10"/>
      <c r="O430" s="11"/>
      <c r="P430" s="10"/>
      <c r="Q430" s="11"/>
      <c r="R430" s="10"/>
      <c r="S430" s="10"/>
    </row>
    <row r="431" customFormat="false" ht="15" hidden="false" customHeight="true" outlineLevel="0" collapsed="false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10"/>
      <c r="M431" s="10"/>
      <c r="N431" s="10"/>
      <c r="O431" s="11"/>
      <c r="P431" s="10"/>
      <c r="Q431" s="11"/>
      <c r="R431" s="10"/>
      <c r="S431" s="10"/>
    </row>
    <row r="432" customFormat="false" ht="15" hidden="false" customHeight="true" outlineLevel="0" collapsed="false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10"/>
      <c r="M432" s="10"/>
      <c r="N432" s="10"/>
      <c r="O432" s="11"/>
      <c r="P432" s="10"/>
      <c r="Q432" s="11"/>
      <c r="R432" s="10"/>
      <c r="S432" s="10"/>
    </row>
    <row r="433" customFormat="false" ht="15" hidden="false" customHeight="true" outlineLevel="0" collapsed="false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10"/>
      <c r="M433" s="10"/>
      <c r="N433" s="10"/>
      <c r="O433" s="11"/>
      <c r="P433" s="10"/>
      <c r="Q433" s="11"/>
      <c r="R433" s="10"/>
      <c r="S433" s="10"/>
    </row>
    <row r="434" customFormat="false" ht="15" hidden="false" customHeight="true" outlineLevel="0" collapsed="false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10"/>
      <c r="M434" s="10"/>
      <c r="N434" s="10"/>
      <c r="O434" s="11"/>
      <c r="P434" s="10"/>
      <c r="Q434" s="11"/>
      <c r="R434" s="10"/>
      <c r="S434" s="10"/>
    </row>
    <row r="435" customFormat="false" ht="15" hidden="false" customHeight="true" outlineLevel="0" collapsed="false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10"/>
      <c r="M435" s="10"/>
      <c r="N435" s="10"/>
      <c r="O435" s="11"/>
      <c r="P435" s="10"/>
      <c r="Q435" s="11"/>
      <c r="R435" s="10"/>
      <c r="S435" s="10"/>
    </row>
    <row r="436" customFormat="false" ht="15" hidden="false" customHeight="true" outlineLevel="0" collapsed="false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10"/>
      <c r="M436" s="10"/>
      <c r="N436" s="10"/>
      <c r="O436" s="11"/>
      <c r="P436" s="10"/>
      <c r="Q436" s="11"/>
      <c r="R436" s="10"/>
      <c r="S436" s="10"/>
    </row>
    <row r="437" customFormat="false" ht="15" hidden="false" customHeight="true" outlineLevel="0" collapsed="false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10"/>
      <c r="M437" s="10"/>
      <c r="N437" s="10"/>
      <c r="O437" s="11"/>
      <c r="P437" s="10"/>
      <c r="Q437" s="11"/>
      <c r="R437" s="10"/>
      <c r="S437" s="10"/>
    </row>
    <row r="438" customFormat="false" ht="15" hidden="false" customHeight="true" outlineLevel="0" collapsed="false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10"/>
      <c r="M438" s="10"/>
      <c r="N438" s="10"/>
      <c r="O438" s="11"/>
      <c r="P438" s="10"/>
      <c r="Q438" s="11"/>
      <c r="R438" s="10"/>
      <c r="S438" s="10"/>
    </row>
    <row r="439" customFormat="false" ht="15" hidden="false" customHeight="true" outlineLevel="0" collapsed="false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10"/>
      <c r="M439" s="10"/>
      <c r="N439" s="10"/>
      <c r="O439" s="11"/>
      <c r="P439" s="10"/>
      <c r="Q439" s="11"/>
      <c r="R439" s="10"/>
      <c r="S439" s="10"/>
    </row>
    <row r="440" customFormat="false" ht="15" hidden="false" customHeight="true" outlineLevel="0" collapsed="false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10"/>
      <c r="M440" s="10"/>
      <c r="N440" s="10"/>
      <c r="O440" s="11"/>
      <c r="P440" s="10"/>
      <c r="Q440" s="11"/>
      <c r="R440" s="10"/>
      <c r="S440" s="10"/>
    </row>
    <row r="441" customFormat="false" ht="15" hidden="false" customHeight="true" outlineLevel="0" collapsed="false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10"/>
      <c r="M441" s="10"/>
      <c r="N441" s="10"/>
      <c r="O441" s="11"/>
      <c r="P441" s="10"/>
      <c r="Q441" s="11"/>
      <c r="R441" s="10"/>
      <c r="S441" s="10"/>
    </row>
    <row r="442" customFormat="false" ht="15" hidden="false" customHeight="true" outlineLevel="0" collapsed="false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10"/>
      <c r="M442" s="10"/>
      <c r="N442" s="10"/>
      <c r="O442" s="11"/>
      <c r="P442" s="10"/>
      <c r="Q442" s="11"/>
      <c r="R442" s="10"/>
      <c r="S442" s="10"/>
    </row>
    <row r="443" customFormat="false" ht="15" hidden="false" customHeight="true" outlineLevel="0" collapsed="false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10"/>
      <c r="M443" s="10"/>
      <c r="N443" s="10"/>
      <c r="O443" s="11"/>
      <c r="P443" s="10"/>
      <c r="Q443" s="11"/>
      <c r="R443" s="10"/>
      <c r="S443" s="10"/>
    </row>
    <row r="444" customFormat="false" ht="15" hidden="false" customHeight="true" outlineLevel="0" collapsed="false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10"/>
      <c r="M444" s="10"/>
      <c r="N444" s="10"/>
      <c r="O444" s="11"/>
      <c r="P444" s="10"/>
      <c r="Q444" s="11"/>
      <c r="R444" s="10"/>
      <c r="S444" s="10"/>
    </row>
    <row r="445" customFormat="false" ht="15" hidden="false" customHeight="true" outlineLevel="0" collapsed="false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10"/>
      <c r="M445" s="10"/>
      <c r="N445" s="10"/>
      <c r="O445" s="11"/>
      <c r="P445" s="10"/>
      <c r="Q445" s="11"/>
      <c r="R445" s="10"/>
      <c r="S445" s="10"/>
    </row>
    <row r="446" customFormat="false" ht="15" hidden="false" customHeight="true" outlineLevel="0" collapsed="false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10"/>
      <c r="M446" s="10"/>
      <c r="N446" s="10"/>
      <c r="O446" s="11"/>
      <c r="P446" s="10"/>
      <c r="Q446" s="11"/>
      <c r="R446" s="10"/>
      <c r="S446" s="10"/>
    </row>
    <row r="447" customFormat="false" ht="15" hidden="false" customHeight="true" outlineLevel="0" collapsed="false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10"/>
      <c r="M447" s="10"/>
      <c r="N447" s="10"/>
      <c r="O447" s="11"/>
      <c r="P447" s="10"/>
      <c r="Q447" s="11"/>
      <c r="R447" s="10"/>
      <c r="S447" s="10"/>
    </row>
    <row r="448" customFormat="false" ht="15" hidden="false" customHeight="true" outlineLevel="0" collapsed="false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10"/>
      <c r="M448" s="10"/>
      <c r="N448" s="10"/>
      <c r="O448" s="11"/>
      <c r="P448" s="10"/>
      <c r="Q448" s="11"/>
      <c r="R448" s="10"/>
      <c r="S448" s="10"/>
    </row>
    <row r="449" customFormat="false" ht="15" hidden="false" customHeight="true" outlineLevel="0" collapsed="false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10"/>
      <c r="M449" s="10"/>
      <c r="N449" s="10"/>
      <c r="O449" s="11"/>
      <c r="P449" s="10"/>
      <c r="Q449" s="11"/>
      <c r="R449" s="10"/>
      <c r="S449" s="10"/>
    </row>
    <row r="450" customFormat="false" ht="15" hidden="false" customHeight="true" outlineLevel="0" collapsed="false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10"/>
      <c r="M450" s="10"/>
      <c r="N450" s="10"/>
      <c r="O450" s="11"/>
      <c r="P450" s="10"/>
      <c r="Q450" s="11"/>
      <c r="R450" s="10"/>
      <c r="S450" s="10"/>
    </row>
    <row r="451" customFormat="false" ht="15" hidden="false" customHeight="true" outlineLevel="0" collapsed="false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10"/>
      <c r="M451" s="10"/>
      <c r="N451" s="10"/>
      <c r="O451" s="11"/>
      <c r="P451" s="10"/>
      <c r="Q451" s="11"/>
      <c r="R451" s="10"/>
      <c r="S451" s="10"/>
    </row>
    <row r="452" customFormat="false" ht="15" hidden="false" customHeight="true" outlineLevel="0" collapsed="false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10"/>
      <c r="M452" s="10"/>
      <c r="N452" s="10"/>
      <c r="O452" s="11"/>
      <c r="P452" s="10"/>
      <c r="Q452" s="11"/>
      <c r="R452" s="10"/>
      <c r="S452" s="10"/>
    </row>
    <row r="453" customFormat="false" ht="15" hidden="false" customHeight="true" outlineLevel="0" collapsed="false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10"/>
      <c r="M453" s="10"/>
      <c r="N453" s="10"/>
      <c r="O453" s="11"/>
      <c r="P453" s="10"/>
      <c r="Q453" s="11"/>
      <c r="R453" s="10"/>
      <c r="S453" s="10"/>
    </row>
    <row r="454" customFormat="false" ht="15" hidden="false" customHeight="true" outlineLevel="0" collapsed="false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10"/>
      <c r="M454" s="10"/>
      <c r="N454" s="10"/>
      <c r="O454" s="11"/>
      <c r="P454" s="10"/>
      <c r="Q454" s="11"/>
      <c r="R454" s="10"/>
      <c r="S454" s="10"/>
    </row>
    <row r="455" customFormat="false" ht="15" hidden="false" customHeight="true" outlineLevel="0" collapsed="false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10"/>
      <c r="M455" s="10"/>
      <c r="N455" s="10"/>
      <c r="O455" s="11"/>
      <c r="P455" s="10"/>
      <c r="Q455" s="11"/>
      <c r="R455" s="10"/>
      <c r="S455" s="10"/>
    </row>
    <row r="456" customFormat="false" ht="15" hidden="false" customHeight="true" outlineLevel="0" collapsed="false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10"/>
      <c r="M456" s="10"/>
      <c r="N456" s="10"/>
      <c r="O456" s="11"/>
      <c r="P456" s="10"/>
      <c r="Q456" s="11"/>
      <c r="R456" s="10"/>
      <c r="S456" s="10"/>
    </row>
    <row r="457" customFormat="false" ht="15" hidden="false" customHeight="true" outlineLevel="0" collapsed="false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10"/>
      <c r="M457" s="10"/>
      <c r="N457" s="10"/>
      <c r="O457" s="11"/>
      <c r="P457" s="10"/>
      <c r="Q457" s="11"/>
      <c r="R457" s="10"/>
      <c r="S457" s="10"/>
    </row>
    <row r="458" customFormat="false" ht="15" hidden="false" customHeight="true" outlineLevel="0" collapsed="false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10"/>
      <c r="M458" s="10"/>
      <c r="N458" s="10"/>
      <c r="O458" s="11"/>
      <c r="P458" s="10"/>
      <c r="Q458" s="11"/>
      <c r="R458" s="10"/>
      <c r="S458" s="10"/>
    </row>
    <row r="459" customFormat="false" ht="15" hidden="false" customHeight="true" outlineLevel="0" collapsed="false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10"/>
      <c r="M459" s="10"/>
      <c r="N459" s="10"/>
      <c r="O459" s="11"/>
      <c r="P459" s="10"/>
      <c r="Q459" s="11"/>
      <c r="R459" s="10"/>
      <c r="S459" s="10"/>
    </row>
    <row r="460" customFormat="false" ht="15" hidden="false" customHeight="true" outlineLevel="0" collapsed="false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10"/>
      <c r="M460" s="10"/>
      <c r="N460" s="10"/>
      <c r="O460" s="11"/>
      <c r="P460" s="10"/>
      <c r="Q460" s="11"/>
      <c r="R460" s="10"/>
      <c r="S460" s="10"/>
    </row>
    <row r="461" customFormat="false" ht="15" hidden="false" customHeight="true" outlineLevel="0" collapsed="false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10"/>
      <c r="M461" s="10"/>
      <c r="N461" s="10"/>
      <c r="O461" s="11"/>
      <c r="P461" s="10"/>
      <c r="Q461" s="11"/>
      <c r="R461" s="10"/>
      <c r="S461" s="10"/>
    </row>
    <row r="462" customFormat="false" ht="15" hidden="false" customHeight="true" outlineLevel="0" collapsed="false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10"/>
      <c r="M462" s="10"/>
      <c r="N462" s="10"/>
      <c r="O462" s="11"/>
      <c r="P462" s="10"/>
      <c r="Q462" s="11"/>
      <c r="R462" s="10"/>
      <c r="S462" s="10"/>
    </row>
    <row r="463" customFormat="false" ht="15" hidden="false" customHeight="true" outlineLevel="0" collapsed="false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10"/>
      <c r="M463" s="10"/>
      <c r="N463" s="10"/>
      <c r="O463" s="11"/>
      <c r="P463" s="10"/>
      <c r="Q463" s="11"/>
      <c r="R463" s="10"/>
      <c r="S463" s="10"/>
    </row>
    <row r="464" customFormat="false" ht="15" hidden="false" customHeight="true" outlineLevel="0" collapsed="false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10"/>
      <c r="M464" s="10"/>
      <c r="N464" s="10"/>
      <c r="O464" s="11"/>
      <c r="P464" s="10"/>
      <c r="Q464" s="11"/>
      <c r="R464" s="10"/>
      <c r="S464" s="10"/>
    </row>
    <row r="465" customFormat="false" ht="15" hidden="false" customHeight="true" outlineLevel="0" collapsed="false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10"/>
      <c r="M465" s="10"/>
      <c r="N465" s="10"/>
      <c r="O465" s="11"/>
      <c r="P465" s="10"/>
      <c r="Q465" s="11"/>
      <c r="R465" s="10"/>
      <c r="S465" s="10"/>
    </row>
    <row r="466" customFormat="false" ht="15" hidden="false" customHeight="true" outlineLevel="0" collapsed="false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10"/>
      <c r="M466" s="10"/>
      <c r="N466" s="10"/>
      <c r="O466" s="11"/>
      <c r="P466" s="10"/>
      <c r="Q466" s="11"/>
      <c r="R466" s="10"/>
      <c r="S466" s="10"/>
    </row>
    <row r="467" customFormat="false" ht="15" hidden="false" customHeight="true" outlineLevel="0" collapsed="false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10"/>
      <c r="M467" s="10"/>
      <c r="N467" s="10"/>
      <c r="O467" s="11"/>
      <c r="P467" s="10"/>
      <c r="Q467" s="11"/>
      <c r="R467" s="10"/>
      <c r="S467" s="10"/>
    </row>
    <row r="468" customFormat="false" ht="15" hidden="false" customHeight="true" outlineLevel="0" collapsed="false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10"/>
      <c r="M468" s="10"/>
      <c r="N468" s="10"/>
      <c r="O468" s="11"/>
      <c r="P468" s="10"/>
      <c r="Q468" s="11"/>
      <c r="R468" s="10"/>
      <c r="S468" s="10"/>
    </row>
    <row r="469" customFormat="false" ht="15" hidden="false" customHeight="true" outlineLevel="0" collapsed="false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10"/>
      <c r="M469" s="10"/>
      <c r="N469" s="10"/>
      <c r="O469" s="11"/>
      <c r="P469" s="10"/>
      <c r="Q469" s="11"/>
      <c r="R469" s="10"/>
      <c r="S469" s="10"/>
    </row>
    <row r="470" customFormat="false" ht="15" hidden="false" customHeight="true" outlineLevel="0" collapsed="false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10"/>
      <c r="M470" s="10"/>
      <c r="N470" s="10"/>
      <c r="O470" s="11"/>
      <c r="P470" s="10"/>
      <c r="Q470" s="11"/>
      <c r="R470" s="10"/>
      <c r="S470" s="10"/>
    </row>
    <row r="471" customFormat="false" ht="15" hidden="false" customHeight="true" outlineLevel="0" collapsed="false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10"/>
      <c r="M471" s="10"/>
      <c r="N471" s="10"/>
      <c r="O471" s="11"/>
      <c r="P471" s="10"/>
      <c r="Q471" s="11"/>
      <c r="R471" s="10"/>
      <c r="S471" s="10"/>
    </row>
    <row r="472" customFormat="false" ht="15" hidden="false" customHeight="true" outlineLevel="0" collapsed="false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10"/>
      <c r="M472" s="10"/>
      <c r="N472" s="10"/>
      <c r="O472" s="11"/>
      <c r="P472" s="10"/>
      <c r="Q472" s="11"/>
      <c r="R472" s="10"/>
      <c r="S472" s="10"/>
    </row>
    <row r="473" customFormat="false" ht="15" hidden="false" customHeight="true" outlineLevel="0" collapsed="false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10"/>
      <c r="M473" s="10"/>
      <c r="N473" s="10"/>
      <c r="O473" s="11"/>
      <c r="P473" s="10"/>
      <c r="Q473" s="11"/>
      <c r="R473" s="10"/>
      <c r="S473" s="10"/>
    </row>
    <row r="474" customFormat="false" ht="15" hidden="false" customHeight="true" outlineLevel="0" collapsed="false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10"/>
      <c r="M474" s="10"/>
      <c r="N474" s="10"/>
      <c r="O474" s="11"/>
      <c r="P474" s="10"/>
      <c r="Q474" s="11"/>
      <c r="R474" s="10"/>
      <c r="S474" s="10"/>
    </row>
    <row r="475" customFormat="false" ht="15" hidden="false" customHeight="true" outlineLevel="0" collapsed="false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10"/>
      <c r="M475" s="10"/>
      <c r="N475" s="10"/>
      <c r="O475" s="11"/>
      <c r="P475" s="10"/>
      <c r="Q475" s="11"/>
      <c r="R475" s="10"/>
      <c r="S475" s="10"/>
    </row>
    <row r="476" customFormat="false" ht="15" hidden="false" customHeight="true" outlineLevel="0" collapsed="false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10"/>
      <c r="M476" s="10"/>
      <c r="N476" s="10"/>
      <c r="O476" s="11"/>
      <c r="P476" s="10"/>
      <c r="Q476" s="11"/>
      <c r="R476" s="10"/>
      <c r="S476" s="10"/>
    </row>
    <row r="477" customFormat="false" ht="15" hidden="false" customHeight="true" outlineLevel="0" collapsed="false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10"/>
      <c r="M477" s="10"/>
      <c r="N477" s="10"/>
      <c r="O477" s="11"/>
      <c r="P477" s="10"/>
      <c r="Q477" s="11"/>
      <c r="R477" s="10"/>
      <c r="S477" s="10"/>
    </row>
    <row r="478" customFormat="false" ht="15" hidden="false" customHeight="true" outlineLevel="0" collapsed="false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10"/>
      <c r="M478" s="10"/>
      <c r="N478" s="10"/>
      <c r="O478" s="11"/>
      <c r="P478" s="10"/>
      <c r="Q478" s="11"/>
      <c r="R478" s="10"/>
      <c r="S478" s="10"/>
    </row>
    <row r="479" customFormat="false" ht="15" hidden="false" customHeight="true" outlineLevel="0" collapsed="false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10"/>
      <c r="M479" s="10"/>
      <c r="N479" s="10"/>
      <c r="O479" s="11"/>
      <c r="P479" s="10"/>
      <c r="Q479" s="11"/>
      <c r="R479" s="10"/>
      <c r="S479" s="10"/>
    </row>
    <row r="480" customFormat="false" ht="15" hidden="false" customHeight="true" outlineLevel="0" collapsed="false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10"/>
      <c r="M480" s="10"/>
      <c r="N480" s="10"/>
      <c r="O480" s="11"/>
      <c r="P480" s="10"/>
      <c r="Q480" s="11"/>
      <c r="R480" s="10"/>
      <c r="S480" s="10"/>
    </row>
    <row r="481" customFormat="false" ht="15" hidden="false" customHeight="true" outlineLevel="0" collapsed="false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10"/>
      <c r="M481" s="10"/>
      <c r="N481" s="10"/>
      <c r="O481" s="11"/>
      <c r="P481" s="10"/>
      <c r="Q481" s="11"/>
      <c r="R481" s="10"/>
      <c r="S481" s="10"/>
    </row>
    <row r="482" customFormat="false" ht="15" hidden="false" customHeight="true" outlineLevel="0" collapsed="false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10"/>
      <c r="M482" s="10"/>
      <c r="N482" s="10"/>
      <c r="O482" s="11"/>
      <c r="P482" s="10"/>
      <c r="Q482" s="11"/>
      <c r="R482" s="10"/>
      <c r="S482" s="10"/>
    </row>
    <row r="483" customFormat="false" ht="15" hidden="false" customHeight="true" outlineLevel="0" collapsed="false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10"/>
      <c r="M483" s="10"/>
      <c r="N483" s="10"/>
      <c r="O483" s="11"/>
      <c r="P483" s="10"/>
      <c r="Q483" s="11"/>
      <c r="R483" s="10"/>
      <c r="S483" s="10"/>
    </row>
    <row r="484" customFormat="false" ht="15" hidden="false" customHeight="true" outlineLevel="0" collapsed="false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10"/>
      <c r="M484" s="10"/>
      <c r="N484" s="10"/>
      <c r="O484" s="11"/>
      <c r="P484" s="10"/>
      <c r="Q484" s="11"/>
      <c r="R484" s="10"/>
      <c r="S484" s="10"/>
    </row>
    <row r="485" customFormat="false" ht="15" hidden="false" customHeight="true" outlineLevel="0" collapsed="false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10"/>
      <c r="M485" s="10"/>
      <c r="N485" s="10"/>
      <c r="O485" s="11"/>
      <c r="P485" s="10"/>
      <c r="Q485" s="11"/>
      <c r="R485" s="10"/>
      <c r="S485" s="10"/>
    </row>
    <row r="486" customFormat="false" ht="15" hidden="false" customHeight="true" outlineLevel="0" collapsed="false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10"/>
      <c r="M486" s="10"/>
      <c r="N486" s="10"/>
      <c r="O486" s="11"/>
      <c r="P486" s="10"/>
      <c r="Q486" s="11"/>
      <c r="R486" s="10"/>
      <c r="S486" s="10"/>
    </row>
    <row r="487" customFormat="false" ht="15" hidden="false" customHeight="true" outlineLevel="0" collapsed="false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10"/>
      <c r="M487" s="10"/>
      <c r="N487" s="10"/>
      <c r="O487" s="11"/>
      <c r="P487" s="10"/>
      <c r="Q487" s="11"/>
      <c r="R487" s="10"/>
      <c r="S487" s="10"/>
    </row>
    <row r="488" customFormat="false" ht="15" hidden="false" customHeight="true" outlineLevel="0" collapsed="false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10"/>
      <c r="M488" s="10"/>
      <c r="N488" s="10"/>
      <c r="O488" s="11"/>
      <c r="P488" s="10"/>
      <c r="Q488" s="11"/>
      <c r="R488" s="10"/>
      <c r="S488" s="10"/>
    </row>
    <row r="489" customFormat="false" ht="15" hidden="false" customHeight="true" outlineLevel="0" collapsed="false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10"/>
      <c r="M489" s="10"/>
      <c r="N489" s="10"/>
      <c r="O489" s="11"/>
      <c r="P489" s="10"/>
      <c r="Q489" s="11"/>
      <c r="R489" s="10"/>
      <c r="S489" s="10"/>
    </row>
    <row r="490" customFormat="false" ht="15" hidden="false" customHeight="true" outlineLevel="0" collapsed="false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10"/>
      <c r="M490" s="10"/>
      <c r="N490" s="10"/>
      <c r="O490" s="11"/>
      <c r="P490" s="10"/>
      <c r="Q490" s="11"/>
      <c r="R490" s="10"/>
      <c r="S490" s="10"/>
    </row>
    <row r="491" customFormat="false" ht="15" hidden="false" customHeight="true" outlineLevel="0" collapsed="false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10"/>
      <c r="M491" s="10"/>
      <c r="N491" s="10"/>
      <c r="O491" s="11"/>
      <c r="P491" s="10"/>
      <c r="Q491" s="11"/>
      <c r="R491" s="10"/>
      <c r="S491" s="10"/>
    </row>
    <row r="492" customFormat="false" ht="15" hidden="false" customHeight="true" outlineLevel="0" collapsed="false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10"/>
      <c r="M492" s="10"/>
      <c r="N492" s="10"/>
      <c r="O492" s="11"/>
      <c r="P492" s="10"/>
      <c r="Q492" s="11"/>
      <c r="R492" s="10"/>
      <c r="S492" s="10"/>
    </row>
    <row r="493" customFormat="false" ht="15" hidden="false" customHeight="true" outlineLevel="0" collapsed="false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10"/>
      <c r="M493" s="10"/>
      <c r="N493" s="10"/>
      <c r="O493" s="11"/>
      <c r="P493" s="10"/>
      <c r="Q493" s="11"/>
      <c r="R493" s="10"/>
      <c r="S493" s="10"/>
    </row>
    <row r="494" customFormat="false" ht="15" hidden="false" customHeight="true" outlineLevel="0" collapsed="false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10"/>
      <c r="M494" s="10"/>
      <c r="N494" s="10"/>
      <c r="O494" s="11"/>
      <c r="P494" s="10"/>
      <c r="Q494" s="11"/>
      <c r="R494" s="10"/>
      <c r="S494" s="10"/>
    </row>
    <row r="495" customFormat="false" ht="15" hidden="false" customHeight="true" outlineLevel="0" collapsed="false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10"/>
      <c r="M495" s="10"/>
      <c r="N495" s="10"/>
      <c r="O495" s="11"/>
      <c r="P495" s="10"/>
      <c r="Q495" s="11"/>
      <c r="R495" s="10"/>
      <c r="S495" s="10"/>
    </row>
    <row r="496" customFormat="false" ht="15" hidden="false" customHeight="true" outlineLevel="0" collapsed="false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10"/>
      <c r="M496" s="10"/>
      <c r="N496" s="10"/>
      <c r="O496" s="11"/>
      <c r="P496" s="10"/>
      <c r="Q496" s="11"/>
      <c r="R496" s="10"/>
      <c r="S496" s="10"/>
    </row>
    <row r="497" customFormat="false" ht="15" hidden="false" customHeight="true" outlineLevel="0" collapsed="false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10"/>
      <c r="M497" s="10"/>
      <c r="N497" s="10"/>
      <c r="O497" s="11"/>
      <c r="P497" s="10"/>
      <c r="Q497" s="11"/>
      <c r="R497" s="10"/>
      <c r="S497" s="10"/>
    </row>
    <row r="498" customFormat="false" ht="15" hidden="false" customHeight="true" outlineLevel="0" collapsed="false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10"/>
      <c r="M498" s="10"/>
      <c r="N498" s="10"/>
      <c r="O498" s="11"/>
      <c r="P498" s="10"/>
      <c r="Q498" s="11"/>
      <c r="R498" s="10"/>
      <c r="S498" s="10"/>
    </row>
    <row r="499" customFormat="false" ht="15" hidden="false" customHeight="true" outlineLevel="0" collapsed="false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10"/>
      <c r="M499" s="10"/>
      <c r="N499" s="10"/>
      <c r="O499" s="11"/>
      <c r="P499" s="10"/>
      <c r="Q499" s="11"/>
      <c r="R499" s="10"/>
      <c r="S499" s="10"/>
    </row>
    <row r="500" customFormat="false" ht="15" hidden="false" customHeight="true" outlineLevel="0" collapsed="false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10"/>
      <c r="M500" s="10"/>
      <c r="N500" s="10"/>
      <c r="O500" s="11"/>
      <c r="P500" s="10"/>
      <c r="Q500" s="11"/>
      <c r="R500" s="10"/>
      <c r="S500" s="10"/>
    </row>
    <row r="501" customFormat="false" ht="15" hidden="false" customHeight="true" outlineLevel="0" collapsed="false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10"/>
      <c r="M501" s="10"/>
      <c r="N501" s="10"/>
      <c r="O501" s="11"/>
      <c r="P501" s="10"/>
      <c r="Q501" s="11"/>
      <c r="R501" s="10"/>
      <c r="S501" s="10"/>
    </row>
    <row r="502" customFormat="false" ht="15" hidden="false" customHeight="true" outlineLevel="0" collapsed="false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10"/>
      <c r="M502" s="10"/>
      <c r="N502" s="10"/>
      <c r="O502" s="11"/>
      <c r="P502" s="10"/>
      <c r="Q502" s="11"/>
      <c r="R502" s="10"/>
      <c r="S502" s="10"/>
    </row>
    <row r="503" customFormat="false" ht="15" hidden="false" customHeight="true" outlineLevel="0" collapsed="false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10"/>
      <c r="M503" s="10"/>
      <c r="N503" s="10"/>
      <c r="O503" s="11"/>
      <c r="P503" s="10"/>
      <c r="Q503" s="11"/>
      <c r="R503" s="10"/>
      <c r="S503" s="10"/>
    </row>
    <row r="504" customFormat="false" ht="15" hidden="false" customHeight="true" outlineLevel="0" collapsed="false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10"/>
      <c r="M504" s="10"/>
      <c r="N504" s="10"/>
      <c r="O504" s="11"/>
      <c r="P504" s="10"/>
      <c r="Q504" s="11"/>
      <c r="R504" s="10"/>
      <c r="S504" s="10"/>
    </row>
    <row r="505" customFormat="false" ht="15" hidden="false" customHeight="true" outlineLevel="0" collapsed="false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10"/>
      <c r="M505" s="10"/>
      <c r="N505" s="10"/>
      <c r="O505" s="11"/>
      <c r="P505" s="10"/>
      <c r="Q505" s="11"/>
      <c r="R505" s="10"/>
      <c r="S505" s="10"/>
    </row>
    <row r="506" customFormat="false" ht="15" hidden="false" customHeight="true" outlineLevel="0" collapsed="false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10"/>
      <c r="M506" s="10"/>
      <c r="N506" s="10"/>
      <c r="O506" s="11"/>
      <c r="P506" s="10"/>
      <c r="Q506" s="11"/>
      <c r="R506" s="10"/>
      <c r="S506" s="10"/>
    </row>
    <row r="507" customFormat="false" ht="15" hidden="false" customHeight="true" outlineLevel="0" collapsed="false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10"/>
      <c r="M507" s="10"/>
      <c r="N507" s="10"/>
      <c r="O507" s="11"/>
      <c r="P507" s="10"/>
      <c r="Q507" s="11"/>
      <c r="R507" s="10"/>
      <c r="S507" s="10"/>
    </row>
    <row r="508" customFormat="false" ht="15" hidden="false" customHeight="true" outlineLevel="0" collapsed="false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10"/>
      <c r="M508" s="10"/>
      <c r="N508" s="10"/>
      <c r="O508" s="11"/>
      <c r="P508" s="10"/>
      <c r="Q508" s="11"/>
      <c r="R508" s="10"/>
      <c r="S508" s="10"/>
    </row>
    <row r="509" customFormat="false" ht="15" hidden="false" customHeight="true" outlineLevel="0" collapsed="false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10"/>
      <c r="M509" s="10"/>
      <c r="N509" s="10"/>
      <c r="O509" s="11"/>
      <c r="P509" s="10"/>
      <c r="Q509" s="11"/>
      <c r="R509" s="10"/>
      <c r="S509" s="10"/>
    </row>
    <row r="510" customFormat="false" ht="15" hidden="false" customHeight="true" outlineLevel="0" collapsed="false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10"/>
      <c r="M510" s="10"/>
      <c r="N510" s="10"/>
      <c r="O510" s="11"/>
      <c r="P510" s="10"/>
      <c r="Q510" s="11"/>
      <c r="R510" s="10"/>
      <c r="S510" s="10"/>
    </row>
    <row r="511" customFormat="false" ht="15" hidden="false" customHeight="true" outlineLevel="0" collapsed="false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10"/>
      <c r="M511" s="10"/>
      <c r="N511" s="10"/>
      <c r="O511" s="11"/>
      <c r="P511" s="10"/>
      <c r="Q511" s="11"/>
      <c r="R511" s="10"/>
      <c r="S511" s="10"/>
    </row>
    <row r="512" customFormat="false" ht="15" hidden="false" customHeight="true" outlineLevel="0" collapsed="false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10"/>
      <c r="M512" s="10"/>
      <c r="N512" s="10"/>
      <c r="O512" s="11"/>
      <c r="P512" s="10"/>
      <c r="Q512" s="11"/>
      <c r="R512" s="10"/>
      <c r="S512" s="10"/>
    </row>
    <row r="513" customFormat="false" ht="15" hidden="false" customHeight="true" outlineLevel="0" collapsed="false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10"/>
      <c r="M513" s="10"/>
      <c r="N513" s="10"/>
      <c r="O513" s="11"/>
      <c r="P513" s="10"/>
      <c r="Q513" s="11"/>
      <c r="R513" s="10"/>
      <c r="S513" s="10"/>
    </row>
    <row r="514" customFormat="false" ht="15" hidden="false" customHeight="true" outlineLevel="0" collapsed="false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10"/>
      <c r="M514" s="10"/>
      <c r="N514" s="10"/>
      <c r="O514" s="11"/>
      <c r="P514" s="10"/>
      <c r="Q514" s="11"/>
      <c r="R514" s="10"/>
      <c r="S514" s="10"/>
    </row>
    <row r="515" customFormat="false" ht="15" hidden="false" customHeight="true" outlineLevel="0" collapsed="false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10"/>
      <c r="M515" s="10"/>
      <c r="N515" s="10"/>
      <c r="O515" s="11"/>
      <c r="P515" s="10"/>
      <c r="Q515" s="11"/>
      <c r="R515" s="10"/>
      <c r="S515" s="10"/>
    </row>
    <row r="516" customFormat="false" ht="15" hidden="false" customHeight="true" outlineLevel="0" collapsed="false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10"/>
      <c r="M516" s="10"/>
      <c r="N516" s="10"/>
      <c r="O516" s="11"/>
      <c r="P516" s="10"/>
      <c r="Q516" s="11"/>
      <c r="R516" s="10"/>
      <c r="S516" s="10"/>
    </row>
    <row r="517" customFormat="false" ht="15" hidden="false" customHeight="true" outlineLevel="0" collapsed="false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10"/>
      <c r="M517" s="10"/>
      <c r="N517" s="10"/>
      <c r="O517" s="11"/>
      <c r="P517" s="10"/>
      <c r="Q517" s="11"/>
      <c r="R517" s="10"/>
      <c r="S517" s="10"/>
    </row>
    <row r="518" customFormat="false" ht="15" hidden="false" customHeight="true" outlineLevel="0" collapsed="false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10"/>
      <c r="M518" s="10"/>
      <c r="N518" s="10"/>
      <c r="O518" s="11"/>
      <c r="P518" s="10"/>
      <c r="Q518" s="11"/>
      <c r="R518" s="10"/>
      <c r="S518" s="10"/>
    </row>
    <row r="519" customFormat="false" ht="15" hidden="false" customHeight="true" outlineLevel="0" collapsed="false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10"/>
      <c r="M519" s="10"/>
      <c r="N519" s="10"/>
      <c r="O519" s="11"/>
      <c r="P519" s="10"/>
      <c r="Q519" s="11"/>
      <c r="R519" s="10"/>
      <c r="S519" s="10"/>
    </row>
    <row r="520" customFormat="false" ht="15" hidden="false" customHeight="true" outlineLevel="0" collapsed="false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10"/>
      <c r="M520" s="10"/>
      <c r="N520" s="10"/>
      <c r="O520" s="11"/>
      <c r="P520" s="10"/>
      <c r="Q520" s="11"/>
      <c r="R520" s="10"/>
      <c r="S520" s="10"/>
    </row>
    <row r="521" customFormat="false" ht="15" hidden="false" customHeight="true" outlineLevel="0" collapsed="false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10"/>
      <c r="M521" s="10"/>
      <c r="N521" s="10"/>
      <c r="O521" s="11"/>
      <c r="P521" s="10"/>
      <c r="Q521" s="11"/>
      <c r="R521" s="10"/>
      <c r="S521" s="10"/>
    </row>
    <row r="522" customFormat="false" ht="15" hidden="false" customHeight="true" outlineLevel="0" collapsed="false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10"/>
      <c r="M522" s="10"/>
      <c r="N522" s="10"/>
      <c r="O522" s="11"/>
      <c r="P522" s="10"/>
      <c r="Q522" s="11"/>
      <c r="R522" s="10"/>
      <c r="S522" s="10"/>
    </row>
    <row r="523" customFormat="false" ht="15" hidden="false" customHeight="true" outlineLevel="0" collapsed="false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10"/>
      <c r="M523" s="10"/>
      <c r="N523" s="10"/>
      <c r="O523" s="11"/>
      <c r="P523" s="10"/>
      <c r="Q523" s="11"/>
      <c r="R523" s="10"/>
      <c r="S523" s="10"/>
    </row>
    <row r="524" customFormat="false" ht="15" hidden="false" customHeight="true" outlineLevel="0" collapsed="false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10"/>
      <c r="M524" s="10"/>
      <c r="N524" s="10"/>
      <c r="O524" s="11"/>
      <c r="P524" s="10"/>
      <c r="Q524" s="11"/>
      <c r="R524" s="10"/>
      <c r="S524" s="10"/>
    </row>
    <row r="525" customFormat="false" ht="15" hidden="false" customHeight="true" outlineLevel="0" collapsed="false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10"/>
      <c r="M525" s="10"/>
      <c r="N525" s="10"/>
      <c r="O525" s="11"/>
      <c r="P525" s="10"/>
      <c r="Q525" s="11"/>
      <c r="R525" s="10"/>
      <c r="S525" s="10"/>
    </row>
    <row r="526" customFormat="false" ht="15" hidden="false" customHeight="true" outlineLevel="0" collapsed="false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10"/>
      <c r="M526" s="10"/>
      <c r="N526" s="10"/>
      <c r="O526" s="11"/>
      <c r="P526" s="10"/>
      <c r="Q526" s="11"/>
      <c r="R526" s="10"/>
      <c r="S526" s="10"/>
    </row>
    <row r="527" customFormat="false" ht="15" hidden="false" customHeight="true" outlineLevel="0" collapsed="false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10"/>
      <c r="M527" s="10"/>
      <c r="N527" s="10"/>
      <c r="O527" s="11"/>
      <c r="P527" s="10"/>
      <c r="Q527" s="11"/>
      <c r="R527" s="10"/>
      <c r="S527" s="10"/>
    </row>
    <row r="528" customFormat="false" ht="15" hidden="false" customHeight="true" outlineLevel="0" collapsed="false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10"/>
      <c r="M528" s="10"/>
      <c r="N528" s="10"/>
      <c r="O528" s="11"/>
      <c r="P528" s="10"/>
      <c r="Q528" s="11"/>
      <c r="R528" s="10"/>
      <c r="S528" s="10"/>
    </row>
    <row r="529" customFormat="false" ht="15" hidden="false" customHeight="true" outlineLevel="0" collapsed="false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10"/>
      <c r="M529" s="10"/>
      <c r="N529" s="10"/>
      <c r="O529" s="11"/>
      <c r="P529" s="10"/>
      <c r="Q529" s="11"/>
      <c r="R529" s="10"/>
      <c r="S529" s="10"/>
    </row>
    <row r="530" customFormat="false" ht="15" hidden="false" customHeight="true" outlineLevel="0" collapsed="false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10"/>
      <c r="M530" s="10"/>
      <c r="N530" s="10"/>
      <c r="O530" s="11"/>
      <c r="P530" s="10"/>
      <c r="Q530" s="11"/>
      <c r="R530" s="10"/>
      <c r="S530" s="10"/>
    </row>
    <row r="531" customFormat="false" ht="15" hidden="false" customHeight="true" outlineLevel="0" collapsed="false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10"/>
      <c r="M531" s="10"/>
      <c r="N531" s="10"/>
      <c r="O531" s="11"/>
      <c r="P531" s="10"/>
      <c r="Q531" s="11"/>
      <c r="R531" s="10"/>
      <c r="S531" s="10"/>
    </row>
    <row r="532" customFormat="false" ht="15" hidden="false" customHeight="true" outlineLevel="0" collapsed="false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10"/>
      <c r="M532" s="10"/>
      <c r="N532" s="10"/>
      <c r="O532" s="11"/>
      <c r="P532" s="10"/>
      <c r="Q532" s="11"/>
      <c r="R532" s="10"/>
      <c r="S532" s="10"/>
    </row>
    <row r="533" customFormat="false" ht="15" hidden="false" customHeight="true" outlineLevel="0" collapsed="false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10"/>
      <c r="M533" s="10"/>
      <c r="N533" s="10"/>
      <c r="O533" s="11"/>
      <c r="P533" s="10"/>
      <c r="Q533" s="11"/>
      <c r="R533" s="10"/>
      <c r="S533" s="10"/>
    </row>
    <row r="534" customFormat="false" ht="15" hidden="false" customHeight="true" outlineLevel="0" collapsed="false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10"/>
      <c r="M534" s="10"/>
      <c r="N534" s="10"/>
      <c r="O534" s="11"/>
      <c r="P534" s="10"/>
      <c r="Q534" s="11"/>
      <c r="R534" s="10"/>
      <c r="S534" s="10"/>
    </row>
    <row r="535" customFormat="false" ht="15" hidden="false" customHeight="true" outlineLevel="0" collapsed="false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10"/>
      <c r="M535" s="10"/>
      <c r="N535" s="10"/>
      <c r="O535" s="11"/>
      <c r="P535" s="10"/>
      <c r="Q535" s="11"/>
      <c r="R535" s="10"/>
      <c r="S535" s="10"/>
    </row>
    <row r="536" customFormat="false" ht="15" hidden="false" customHeight="true" outlineLevel="0" collapsed="false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10"/>
      <c r="M536" s="10"/>
      <c r="N536" s="10"/>
      <c r="O536" s="11"/>
      <c r="P536" s="10"/>
      <c r="Q536" s="11"/>
      <c r="R536" s="10"/>
      <c r="S536" s="10"/>
    </row>
    <row r="537" customFormat="false" ht="15" hidden="false" customHeight="true" outlineLevel="0" collapsed="false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10"/>
      <c r="M537" s="10"/>
      <c r="N537" s="10"/>
      <c r="O537" s="11"/>
      <c r="P537" s="10"/>
      <c r="Q537" s="11"/>
      <c r="R537" s="10"/>
      <c r="S537" s="10"/>
    </row>
    <row r="538" customFormat="false" ht="15" hidden="false" customHeight="true" outlineLevel="0" collapsed="false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10"/>
      <c r="M538" s="10"/>
      <c r="N538" s="10"/>
      <c r="O538" s="11"/>
      <c r="P538" s="10"/>
      <c r="Q538" s="11"/>
      <c r="R538" s="10"/>
      <c r="S538" s="10"/>
    </row>
    <row r="539" customFormat="false" ht="15" hidden="false" customHeight="true" outlineLevel="0" collapsed="false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10"/>
      <c r="M539" s="10"/>
      <c r="N539" s="10"/>
      <c r="O539" s="11"/>
      <c r="P539" s="10"/>
      <c r="Q539" s="11"/>
      <c r="R539" s="10"/>
      <c r="S539" s="10"/>
    </row>
    <row r="540" customFormat="false" ht="15" hidden="false" customHeight="true" outlineLevel="0" collapsed="false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10"/>
      <c r="M540" s="10"/>
      <c r="N540" s="10"/>
      <c r="O540" s="11"/>
      <c r="P540" s="10"/>
      <c r="Q540" s="11"/>
      <c r="R540" s="10"/>
      <c r="S540" s="10"/>
    </row>
    <row r="541" customFormat="false" ht="15" hidden="false" customHeight="true" outlineLevel="0" collapsed="false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10"/>
      <c r="M541" s="10"/>
      <c r="N541" s="10"/>
      <c r="O541" s="11"/>
      <c r="P541" s="10"/>
      <c r="Q541" s="11"/>
      <c r="R541" s="10"/>
      <c r="S541" s="10"/>
    </row>
    <row r="542" customFormat="false" ht="15" hidden="false" customHeight="true" outlineLevel="0" collapsed="false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10"/>
      <c r="M542" s="10"/>
      <c r="N542" s="10"/>
      <c r="O542" s="11"/>
      <c r="P542" s="10"/>
      <c r="Q542" s="11"/>
      <c r="R542" s="10"/>
      <c r="S542" s="10"/>
    </row>
    <row r="543" customFormat="false" ht="15" hidden="false" customHeight="true" outlineLevel="0" collapsed="false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10"/>
      <c r="M543" s="10"/>
      <c r="N543" s="10"/>
      <c r="O543" s="11"/>
      <c r="P543" s="10"/>
      <c r="Q543" s="11"/>
      <c r="R543" s="10"/>
      <c r="S543" s="10"/>
    </row>
    <row r="544" customFormat="false" ht="15" hidden="false" customHeight="true" outlineLevel="0" collapsed="false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10"/>
      <c r="M544" s="10"/>
      <c r="N544" s="10"/>
      <c r="O544" s="11"/>
      <c r="P544" s="10"/>
      <c r="Q544" s="11"/>
      <c r="R544" s="10"/>
      <c r="S544" s="10"/>
    </row>
    <row r="545" customFormat="false" ht="15" hidden="false" customHeight="true" outlineLevel="0" collapsed="false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10"/>
      <c r="M545" s="10"/>
      <c r="N545" s="10"/>
      <c r="O545" s="11"/>
      <c r="P545" s="10"/>
      <c r="Q545" s="11"/>
      <c r="R545" s="10"/>
      <c r="S545" s="10"/>
    </row>
    <row r="546" customFormat="false" ht="15" hidden="false" customHeight="true" outlineLevel="0" collapsed="false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10"/>
      <c r="M546" s="10"/>
      <c r="N546" s="10"/>
      <c r="O546" s="11"/>
      <c r="P546" s="10"/>
      <c r="Q546" s="11"/>
      <c r="R546" s="10"/>
      <c r="S546" s="10"/>
    </row>
    <row r="547" customFormat="false" ht="15" hidden="false" customHeight="true" outlineLevel="0" collapsed="false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10"/>
      <c r="M547" s="10"/>
      <c r="N547" s="10"/>
      <c r="O547" s="11"/>
      <c r="P547" s="10"/>
      <c r="Q547" s="11"/>
      <c r="R547" s="10"/>
      <c r="S547" s="10"/>
    </row>
    <row r="548" customFormat="false" ht="15" hidden="false" customHeight="true" outlineLevel="0" collapsed="false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10"/>
      <c r="M548" s="10"/>
      <c r="N548" s="10"/>
      <c r="O548" s="11"/>
      <c r="P548" s="10"/>
      <c r="Q548" s="11"/>
      <c r="R548" s="10"/>
      <c r="S548" s="10"/>
    </row>
    <row r="549" customFormat="false" ht="15" hidden="false" customHeight="true" outlineLevel="0" collapsed="false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10"/>
      <c r="M549" s="10"/>
      <c r="N549" s="10"/>
      <c r="O549" s="11"/>
      <c r="P549" s="10"/>
      <c r="Q549" s="11"/>
      <c r="R549" s="10"/>
      <c r="S549" s="10"/>
    </row>
    <row r="550" customFormat="false" ht="15" hidden="false" customHeight="true" outlineLevel="0" collapsed="false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10"/>
      <c r="M550" s="10"/>
      <c r="N550" s="10"/>
      <c r="O550" s="11"/>
      <c r="P550" s="10"/>
      <c r="Q550" s="11"/>
      <c r="R550" s="10"/>
      <c r="S550" s="10"/>
    </row>
    <row r="551" customFormat="false" ht="15" hidden="false" customHeight="true" outlineLevel="0" collapsed="false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10"/>
      <c r="M551" s="10"/>
      <c r="N551" s="10"/>
      <c r="O551" s="11"/>
      <c r="P551" s="10"/>
      <c r="Q551" s="11"/>
      <c r="R551" s="10"/>
      <c r="S551" s="10"/>
    </row>
    <row r="552" customFormat="false" ht="15" hidden="false" customHeight="true" outlineLevel="0" collapsed="false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10"/>
      <c r="M552" s="10"/>
      <c r="N552" s="10"/>
      <c r="O552" s="11"/>
      <c r="P552" s="10"/>
      <c r="Q552" s="11"/>
      <c r="R552" s="10"/>
      <c r="S552" s="10"/>
    </row>
    <row r="553" customFormat="false" ht="15" hidden="false" customHeight="true" outlineLevel="0" collapsed="false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10"/>
      <c r="M553" s="10"/>
      <c r="N553" s="10"/>
      <c r="O553" s="11"/>
      <c r="P553" s="10"/>
      <c r="Q553" s="11"/>
      <c r="R553" s="10"/>
      <c r="S553" s="10"/>
    </row>
    <row r="554" customFormat="false" ht="15" hidden="false" customHeight="true" outlineLevel="0" collapsed="false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10"/>
      <c r="M554" s="10"/>
      <c r="N554" s="10"/>
      <c r="O554" s="11"/>
      <c r="P554" s="10"/>
      <c r="Q554" s="11"/>
      <c r="R554" s="10"/>
      <c r="S554" s="10"/>
    </row>
    <row r="555" customFormat="false" ht="15" hidden="false" customHeight="true" outlineLevel="0" collapsed="false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10"/>
      <c r="M555" s="10"/>
      <c r="N555" s="10"/>
      <c r="O555" s="11"/>
      <c r="P555" s="10"/>
      <c r="Q555" s="11"/>
      <c r="R555" s="10"/>
      <c r="S555" s="10"/>
    </row>
    <row r="556" customFormat="false" ht="15" hidden="false" customHeight="true" outlineLevel="0" collapsed="false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10"/>
      <c r="M556" s="10"/>
      <c r="N556" s="10"/>
      <c r="O556" s="11"/>
      <c r="P556" s="10"/>
      <c r="Q556" s="11"/>
      <c r="R556" s="10"/>
      <c r="S556" s="10"/>
    </row>
    <row r="557" customFormat="false" ht="15" hidden="false" customHeight="true" outlineLevel="0" collapsed="false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10"/>
      <c r="M557" s="10"/>
      <c r="N557" s="10"/>
      <c r="O557" s="11"/>
      <c r="P557" s="10"/>
      <c r="Q557" s="11"/>
      <c r="R557" s="10"/>
      <c r="S557" s="10"/>
    </row>
    <row r="558" customFormat="false" ht="15" hidden="false" customHeight="true" outlineLevel="0" collapsed="false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10"/>
      <c r="M558" s="10"/>
      <c r="N558" s="10"/>
      <c r="O558" s="11"/>
      <c r="P558" s="10"/>
      <c r="Q558" s="11"/>
      <c r="R558" s="10"/>
      <c r="S558" s="10"/>
    </row>
    <row r="559" customFormat="false" ht="15" hidden="false" customHeight="true" outlineLevel="0" collapsed="false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10"/>
      <c r="M559" s="10"/>
      <c r="N559" s="10"/>
      <c r="O559" s="11"/>
      <c r="P559" s="10"/>
      <c r="Q559" s="11"/>
      <c r="R559" s="10"/>
      <c r="S559" s="10"/>
    </row>
    <row r="560" customFormat="false" ht="15" hidden="false" customHeight="true" outlineLevel="0" collapsed="false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10"/>
      <c r="M560" s="10"/>
      <c r="N560" s="10"/>
      <c r="O560" s="11"/>
      <c r="P560" s="10"/>
      <c r="Q560" s="11"/>
      <c r="R560" s="10"/>
      <c r="S560" s="10"/>
    </row>
    <row r="561" customFormat="false" ht="15" hidden="false" customHeight="true" outlineLevel="0" collapsed="false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10"/>
      <c r="M561" s="10"/>
      <c r="N561" s="10"/>
      <c r="O561" s="11"/>
      <c r="P561" s="10"/>
      <c r="Q561" s="11"/>
      <c r="R561" s="10"/>
      <c r="S561" s="10"/>
    </row>
    <row r="562" customFormat="false" ht="15" hidden="false" customHeight="true" outlineLevel="0" collapsed="false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10"/>
      <c r="M562" s="10"/>
      <c r="N562" s="10"/>
      <c r="O562" s="11"/>
      <c r="P562" s="10"/>
      <c r="Q562" s="11"/>
      <c r="R562" s="10"/>
      <c r="S562" s="10"/>
    </row>
    <row r="563" customFormat="false" ht="15" hidden="false" customHeight="true" outlineLevel="0" collapsed="false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10"/>
      <c r="M563" s="10"/>
      <c r="N563" s="10"/>
      <c r="O563" s="11"/>
      <c r="P563" s="10"/>
      <c r="Q563" s="11"/>
      <c r="R563" s="10"/>
      <c r="S563" s="10"/>
    </row>
    <row r="564" customFormat="false" ht="15" hidden="false" customHeight="true" outlineLevel="0" collapsed="false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10"/>
      <c r="M564" s="10"/>
      <c r="N564" s="10"/>
      <c r="O564" s="11"/>
      <c r="P564" s="10"/>
      <c r="Q564" s="11"/>
      <c r="R564" s="10"/>
      <c r="S564" s="10"/>
    </row>
    <row r="565" customFormat="false" ht="15" hidden="false" customHeight="true" outlineLevel="0" collapsed="false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10"/>
      <c r="M565" s="10"/>
      <c r="N565" s="10"/>
      <c r="O565" s="11"/>
      <c r="P565" s="10"/>
      <c r="Q565" s="11"/>
      <c r="R565" s="10"/>
      <c r="S565" s="10"/>
    </row>
    <row r="566" customFormat="false" ht="15" hidden="false" customHeight="true" outlineLevel="0" collapsed="false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10"/>
      <c r="M566" s="10"/>
      <c r="N566" s="10"/>
      <c r="O566" s="11"/>
      <c r="P566" s="10"/>
      <c r="Q566" s="11"/>
      <c r="R566" s="10"/>
      <c r="S566" s="10"/>
    </row>
    <row r="567" customFormat="false" ht="15" hidden="false" customHeight="true" outlineLevel="0" collapsed="false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10"/>
      <c r="M567" s="10"/>
      <c r="N567" s="10"/>
      <c r="O567" s="11"/>
      <c r="P567" s="10"/>
      <c r="Q567" s="11"/>
      <c r="R567" s="10"/>
      <c r="S567" s="10"/>
    </row>
    <row r="568" customFormat="false" ht="15" hidden="false" customHeight="true" outlineLevel="0" collapsed="false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10"/>
      <c r="M568" s="10"/>
      <c r="N568" s="10"/>
      <c r="O568" s="11"/>
      <c r="P568" s="10"/>
      <c r="Q568" s="11"/>
      <c r="R568" s="10"/>
      <c r="S568" s="10"/>
    </row>
    <row r="569" customFormat="false" ht="15" hidden="false" customHeight="true" outlineLevel="0" collapsed="false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10"/>
      <c r="M569" s="10"/>
      <c r="N569" s="10"/>
      <c r="O569" s="11"/>
      <c r="P569" s="10"/>
      <c r="Q569" s="11"/>
      <c r="R569" s="10"/>
      <c r="S569" s="10"/>
    </row>
    <row r="570" customFormat="false" ht="15" hidden="false" customHeight="true" outlineLevel="0" collapsed="false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10"/>
      <c r="M570" s="10"/>
      <c r="N570" s="10"/>
      <c r="O570" s="11"/>
      <c r="P570" s="10"/>
      <c r="Q570" s="11"/>
      <c r="R570" s="10"/>
      <c r="S570" s="10"/>
    </row>
    <row r="571" customFormat="false" ht="15" hidden="false" customHeight="true" outlineLevel="0" collapsed="false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10"/>
      <c r="M571" s="10"/>
      <c r="N571" s="10"/>
      <c r="O571" s="11"/>
      <c r="P571" s="10"/>
      <c r="Q571" s="11"/>
      <c r="R571" s="10"/>
      <c r="S571" s="10"/>
    </row>
    <row r="572" customFormat="false" ht="15" hidden="false" customHeight="true" outlineLevel="0" collapsed="false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10"/>
      <c r="M572" s="10"/>
      <c r="N572" s="10"/>
      <c r="O572" s="11"/>
      <c r="P572" s="10"/>
      <c r="Q572" s="11"/>
      <c r="R572" s="10"/>
      <c r="S572" s="10"/>
    </row>
    <row r="573" customFormat="false" ht="15" hidden="false" customHeight="true" outlineLevel="0" collapsed="false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10"/>
      <c r="M573" s="10"/>
      <c r="N573" s="10"/>
      <c r="O573" s="11"/>
      <c r="P573" s="10"/>
      <c r="Q573" s="11"/>
      <c r="R573" s="10"/>
      <c r="S573" s="10"/>
    </row>
    <row r="574" customFormat="false" ht="15" hidden="false" customHeight="true" outlineLevel="0" collapsed="false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10"/>
      <c r="M574" s="10"/>
      <c r="N574" s="10"/>
      <c r="O574" s="11"/>
      <c r="P574" s="10"/>
      <c r="Q574" s="11"/>
      <c r="R574" s="10"/>
      <c r="S574" s="10"/>
    </row>
    <row r="575" customFormat="false" ht="15" hidden="false" customHeight="true" outlineLevel="0" collapsed="false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10"/>
      <c r="M575" s="10"/>
      <c r="N575" s="10"/>
      <c r="O575" s="11"/>
      <c r="P575" s="10"/>
      <c r="Q575" s="11"/>
      <c r="R575" s="10"/>
      <c r="S575" s="10"/>
    </row>
    <row r="576" customFormat="false" ht="15" hidden="false" customHeight="true" outlineLevel="0" collapsed="false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10"/>
      <c r="M576" s="10"/>
      <c r="N576" s="10"/>
      <c r="O576" s="11"/>
      <c r="P576" s="10"/>
      <c r="Q576" s="11"/>
      <c r="R576" s="10"/>
      <c r="S576" s="10"/>
    </row>
    <row r="577" customFormat="false" ht="15" hidden="false" customHeight="true" outlineLevel="0" collapsed="false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10"/>
      <c r="M577" s="10"/>
      <c r="N577" s="10"/>
      <c r="O577" s="11"/>
      <c r="P577" s="10"/>
      <c r="Q577" s="11"/>
      <c r="R577" s="10"/>
      <c r="S577" s="10"/>
    </row>
    <row r="578" customFormat="false" ht="15" hidden="false" customHeight="true" outlineLevel="0" collapsed="false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10"/>
      <c r="M578" s="10"/>
      <c r="N578" s="10"/>
      <c r="O578" s="11"/>
      <c r="P578" s="10"/>
      <c r="Q578" s="11"/>
      <c r="R578" s="10"/>
      <c r="S578" s="10"/>
    </row>
    <row r="579" customFormat="false" ht="15" hidden="false" customHeight="true" outlineLevel="0" collapsed="false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10"/>
      <c r="M579" s="10"/>
      <c r="N579" s="10"/>
      <c r="O579" s="11"/>
      <c r="P579" s="10"/>
      <c r="Q579" s="11"/>
      <c r="R579" s="10"/>
      <c r="S579" s="10"/>
    </row>
    <row r="580" customFormat="false" ht="15" hidden="false" customHeight="true" outlineLevel="0" collapsed="false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10"/>
      <c r="M580" s="10"/>
      <c r="N580" s="10"/>
      <c r="O580" s="11"/>
      <c r="P580" s="10"/>
      <c r="Q580" s="11"/>
      <c r="R580" s="10"/>
      <c r="S580" s="10"/>
    </row>
    <row r="581" customFormat="false" ht="15" hidden="false" customHeight="true" outlineLevel="0" collapsed="false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10"/>
      <c r="M581" s="10"/>
      <c r="N581" s="10"/>
      <c r="O581" s="11"/>
      <c r="P581" s="10"/>
      <c r="Q581" s="11"/>
      <c r="R581" s="10"/>
      <c r="S581" s="10"/>
    </row>
    <row r="582" customFormat="false" ht="15" hidden="false" customHeight="true" outlineLevel="0" collapsed="false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10"/>
      <c r="M582" s="10"/>
      <c r="N582" s="10"/>
      <c r="O582" s="11"/>
      <c r="P582" s="10"/>
      <c r="Q582" s="11"/>
      <c r="R582" s="10"/>
      <c r="S582" s="10"/>
    </row>
    <row r="583" customFormat="false" ht="15" hidden="false" customHeight="true" outlineLevel="0" collapsed="false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10"/>
      <c r="M583" s="10"/>
      <c r="N583" s="10"/>
      <c r="O583" s="11"/>
      <c r="P583" s="10"/>
      <c r="Q583" s="11"/>
      <c r="R583" s="10"/>
      <c r="S583" s="10"/>
    </row>
    <row r="584" customFormat="false" ht="15" hidden="false" customHeight="true" outlineLevel="0" collapsed="false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10"/>
      <c r="M584" s="10"/>
      <c r="N584" s="10"/>
      <c r="O584" s="11"/>
      <c r="P584" s="10"/>
      <c r="Q584" s="11"/>
      <c r="R584" s="10"/>
      <c r="S584" s="10"/>
    </row>
    <row r="585" customFormat="false" ht="15" hidden="false" customHeight="true" outlineLevel="0" collapsed="false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10"/>
      <c r="M585" s="10"/>
      <c r="N585" s="10"/>
      <c r="O585" s="11"/>
      <c r="P585" s="10"/>
      <c r="Q585" s="11"/>
      <c r="R585" s="10"/>
      <c r="S585" s="10"/>
    </row>
    <row r="586" customFormat="false" ht="15" hidden="false" customHeight="true" outlineLevel="0" collapsed="false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10"/>
      <c r="M586" s="10"/>
      <c r="N586" s="10"/>
      <c r="O586" s="11"/>
      <c r="P586" s="10"/>
      <c r="Q586" s="11"/>
      <c r="R586" s="10"/>
      <c r="S586" s="10"/>
    </row>
    <row r="587" customFormat="false" ht="15" hidden="false" customHeight="true" outlineLevel="0" collapsed="false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10"/>
      <c r="M587" s="10"/>
      <c r="N587" s="10"/>
      <c r="O587" s="11"/>
      <c r="P587" s="10"/>
      <c r="Q587" s="11"/>
      <c r="R587" s="10"/>
      <c r="S587" s="10"/>
    </row>
    <row r="588" customFormat="false" ht="15" hidden="false" customHeight="true" outlineLevel="0" collapsed="false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10"/>
      <c r="M588" s="10"/>
      <c r="N588" s="10"/>
      <c r="O588" s="11"/>
      <c r="P588" s="10"/>
      <c r="Q588" s="11"/>
      <c r="R588" s="10"/>
      <c r="S588" s="10"/>
    </row>
    <row r="589" customFormat="false" ht="15" hidden="false" customHeight="true" outlineLevel="0" collapsed="false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10"/>
      <c r="M589" s="10"/>
      <c r="N589" s="10"/>
      <c r="O589" s="11"/>
      <c r="P589" s="10"/>
      <c r="Q589" s="11"/>
      <c r="R589" s="10"/>
      <c r="S589" s="10"/>
    </row>
    <row r="590" customFormat="false" ht="15" hidden="false" customHeight="true" outlineLevel="0" collapsed="false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10"/>
      <c r="M590" s="10"/>
      <c r="N590" s="10"/>
      <c r="O590" s="11"/>
      <c r="P590" s="10"/>
      <c r="Q590" s="11"/>
      <c r="R590" s="10"/>
      <c r="S590" s="10"/>
    </row>
    <row r="591" customFormat="false" ht="15" hidden="false" customHeight="true" outlineLevel="0" collapsed="false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10"/>
      <c r="M591" s="10"/>
      <c r="N591" s="10"/>
      <c r="O591" s="11"/>
      <c r="P591" s="10"/>
      <c r="Q591" s="11"/>
      <c r="R591" s="10"/>
      <c r="S591" s="10"/>
    </row>
    <row r="592" customFormat="false" ht="15" hidden="false" customHeight="true" outlineLevel="0" collapsed="false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10"/>
      <c r="M592" s="10"/>
      <c r="N592" s="10"/>
      <c r="O592" s="11"/>
      <c r="P592" s="10"/>
      <c r="Q592" s="11"/>
      <c r="R592" s="10"/>
      <c r="S592" s="10"/>
    </row>
    <row r="593" customFormat="false" ht="15" hidden="false" customHeight="true" outlineLevel="0" collapsed="false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10"/>
      <c r="M593" s="10"/>
      <c r="N593" s="10"/>
      <c r="O593" s="11"/>
      <c r="P593" s="10"/>
      <c r="Q593" s="11"/>
      <c r="R593" s="10"/>
      <c r="S593" s="10"/>
    </row>
    <row r="594" customFormat="false" ht="15" hidden="false" customHeight="true" outlineLevel="0" collapsed="false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10"/>
      <c r="M594" s="10"/>
      <c r="N594" s="10"/>
      <c r="O594" s="11"/>
      <c r="P594" s="10"/>
      <c r="Q594" s="11"/>
      <c r="R594" s="10"/>
      <c r="S594" s="10"/>
    </row>
    <row r="595" customFormat="false" ht="15" hidden="false" customHeight="true" outlineLevel="0" collapsed="false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10"/>
      <c r="M595" s="10"/>
      <c r="N595" s="10"/>
      <c r="O595" s="11"/>
      <c r="P595" s="10"/>
      <c r="Q595" s="11"/>
      <c r="R595" s="10"/>
      <c r="S595" s="10"/>
    </row>
    <row r="596" customFormat="false" ht="15" hidden="false" customHeight="true" outlineLevel="0" collapsed="false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10"/>
      <c r="M596" s="10"/>
      <c r="N596" s="10"/>
      <c r="O596" s="11"/>
      <c r="P596" s="10"/>
      <c r="Q596" s="11"/>
      <c r="R596" s="10"/>
      <c r="S596" s="10"/>
    </row>
    <row r="597" customFormat="false" ht="15" hidden="false" customHeight="true" outlineLevel="0" collapsed="false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10"/>
      <c r="M597" s="10"/>
      <c r="N597" s="10"/>
      <c r="O597" s="11"/>
      <c r="P597" s="10"/>
      <c r="Q597" s="11"/>
      <c r="R597" s="10"/>
      <c r="S597" s="10"/>
    </row>
    <row r="598" customFormat="false" ht="15" hidden="false" customHeight="true" outlineLevel="0" collapsed="false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10"/>
      <c r="M598" s="10"/>
      <c r="N598" s="10"/>
      <c r="O598" s="11"/>
      <c r="P598" s="10"/>
      <c r="Q598" s="11"/>
      <c r="R598" s="10"/>
      <c r="S598" s="10"/>
    </row>
    <row r="599" customFormat="false" ht="15" hidden="false" customHeight="true" outlineLevel="0" collapsed="false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10"/>
      <c r="M599" s="10"/>
      <c r="N599" s="10"/>
      <c r="O599" s="11"/>
      <c r="P599" s="10"/>
      <c r="Q599" s="11"/>
      <c r="R599" s="10"/>
      <c r="S599" s="10"/>
    </row>
    <row r="600" customFormat="false" ht="15" hidden="false" customHeight="true" outlineLevel="0" collapsed="false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10"/>
      <c r="M600" s="10"/>
      <c r="N600" s="10"/>
      <c r="O600" s="11"/>
      <c r="P600" s="10"/>
      <c r="Q600" s="11"/>
      <c r="R600" s="10"/>
      <c r="S600" s="10"/>
    </row>
    <row r="601" customFormat="false" ht="15" hidden="false" customHeight="true" outlineLevel="0" collapsed="false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10"/>
      <c r="M601" s="10"/>
      <c r="N601" s="10"/>
      <c r="O601" s="11"/>
      <c r="P601" s="10"/>
      <c r="Q601" s="11"/>
      <c r="R601" s="10"/>
      <c r="S601" s="10"/>
    </row>
    <row r="602" customFormat="false" ht="15" hidden="false" customHeight="true" outlineLevel="0" collapsed="false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10"/>
      <c r="M602" s="10"/>
      <c r="N602" s="10"/>
      <c r="O602" s="11"/>
      <c r="P602" s="10"/>
      <c r="Q602" s="11"/>
      <c r="R602" s="10"/>
      <c r="S602" s="10"/>
    </row>
    <row r="603" customFormat="false" ht="15" hidden="false" customHeight="true" outlineLevel="0" collapsed="false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10"/>
      <c r="M603" s="10"/>
      <c r="N603" s="10"/>
      <c r="O603" s="11"/>
      <c r="P603" s="10"/>
      <c r="Q603" s="11"/>
      <c r="R603" s="10"/>
      <c r="S603" s="10"/>
    </row>
    <row r="604" customFormat="false" ht="15" hidden="false" customHeight="true" outlineLevel="0" collapsed="false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10"/>
      <c r="M604" s="10"/>
      <c r="N604" s="10"/>
      <c r="O604" s="11"/>
      <c r="P604" s="10"/>
      <c r="Q604" s="11"/>
      <c r="R604" s="10"/>
      <c r="S604" s="10"/>
    </row>
    <row r="605" customFormat="false" ht="15" hidden="false" customHeight="true" outlineLevel="0" collapsed="false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10"/>
      <c r="M605" s="10"/>
      <c r="N605" s="10"/>
      <c r="O605" s="11"/>
      <c r="P605" s="10"/>
      <c r="Q605" s="11"/>
      <c r="R605" s="10"/>
      <c r="S605" s="10"/>
    </row>
    <row r="606" customFormat="false" ht="15" hidden="false" customHeight="true" outlineLevel="0" collapsed="false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10"/>
      <c r="M606" s="10"/>
      <c r="N606" s="10"/>
      <c r="O606" s="11"/>
      <c r="P606" s="10"/>
      <c r="Q606" s="11"/>
      <c r="R606" s="10"/>
      <c r="S606" s="10"/>
    </row>
    <row r="607" customFormat="false" ht="15" hidden="false" customHeight="true" outlineLevel="0" collapsed="false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10"/>
      <c r="M607" s="10"/>
      <c r="N607" s="10"/>
      <c r="O607" s="11"/>
      <c r="P607" s="10"/>
      <c r="Q607" s="11"/>
      <c r="R607" s="10"/>
      <c r="S607" s="10"/>
    </row>
    <row r="608" customFormat="false" ht="15" hidden="false" customHeight="true" outlineLevel="0" collapsed="false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10"/>
      <c r="M608" s="10"/>
      <c r="N608" s="10"/>
      <c r="O608" s="11"/>
      <c r="P608" s="10"/>
      <c r="Q608" s="11"/>
      <c r="R608" s="10"/>
      <c r="S608" s="10"/>
    </row>
    <row r="609" customFormat="false" ht="15" hidden="false" customHeight="true" outlineLevel="0" collapsed="false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10"/>
      <c r="M609" s="10"/>
      <c r="N609" s="10"/>
      <c r="O609" s="11"/>
      <c r="P609" s="10"/>
      <c r="Q609" s="11"/>
      <c r="R609" s="10"/>
      <c r="S609" s="10"/>
    </row>
    <row r="610" customFormat="false" ht="15" hidden="false" customHeight="true" outlineLevel="0" collapsed="false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10"/>
      <c r="M610" s="10"/>
      <c r="N610" s="10"/>
      <c r="O610" s="11"/>
      <c r="P610" s="10"/>
      <c r="Q610" s="11"/>
      <c r="R610" s="10"/>
      <c r="S610" s="10"/>
    </row>
    <row r="611" customFormat="false" ht="15" hidden="false" customHeight="true" outlineLevel="0" collapsed="false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10"/>
      <c r="M611" s="10"/>
      <c r="N611" s="10"/>
      <c r="O611" s="11"/>
      <c r="P611" s="10"/>
      <c r="Q611" s="11"/>
      <c r="R611" s="10"/>
      <c r="S611" s="10"/>
    </row>
    <row r="612" customFormat="false" ht="15" hidden="false" customHeight="true" outlineLevel="0" collapsed="false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10"/>
      <c r="M612" s="10"/>
      <c r="N612" s="10"/>
      <c r="O612" s="11"/>
      <c r="P612" s="10"/>
      <c r="Q612" s="11"/>
      <c r="R612" s="10"/>
      <c r="S612" s="10"/>
    </row>
    <row r="613" customFormat="false" ht="15" hidden="false" customHeight="true" outlineLevel="0" collapsed="false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10"/>
      <c r="M613" s="10"/>
      <c r="N613" s="10"/>
      <c r="O613" s="11"/>
      <c r="P613" s="10"/>
      <c r="Q613" s="11"/>
      <c r="R613" s="10"/>
      <c r="S613" s="10"/>
    </row>
    <row r="614" customFormat="false" ht="15" hidden="false" customHeight="true" outlineLevel="0" collapsed="false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10"/>
      <c r="M614" s="10"/>
      <c r="N614" s="10"/>
      <c r="O614" s="11"/>
      <c r="P614" s="10"/>
      <c r="Q614" s="11"/>
      <c r="R614" s="10"/>
      <c r="S614" s="10"/>
    </row>
    <row r="615" customFormat="false" ht="15" hidden="false" customHeight="true" outlineLevel="0" collapsed="false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10"/>
      <c r="M615" s="10"/>
      <c r="N615" s="10"/>
      <c r="O615" s="11"/>
      <c r="P615" s="10"/>
      <c r="Q615" s="11"/>
      <c r="R615" s="10"/>
      <c r="S615" s="10"/>
    </row>
    <row r="616" customFormat="false" ht="15" hidden="false" customHeight="true" outlineLevel="0" collapsed="false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10"/>
      <c r="M616" s="10"/>
      <c r="N616" s="10"/>
      <c r="O616" s="11"/>
      <c r="P616" s="10"/>
      <c r="Q616" s="11"/>
      <c r="R616" s="10"/>
      <c r="S616" s="10"/>
    </row>
    <row r="617" customFormat="false" ht="15" hidden="false" customHeight="true" outlineLevel="0" collapsed="false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10"/>
      <c r="M617" s="10"/>
      <c r="N617" s="10"/>
      <c r="O617" s="11"/>
      <c r="P617" s="10"/>
      <c r="Q617" s="11"/>
      <c r="R617" s="10"/>
      <c r="S617" s="10"/>
    </row>
    <row r="618" customFormat="false" ht="15" hidden="false" customHeight="true" outlineLevel="0" collapsed="false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10"/>
      <c r="M618" s="10"/>
      <c r="N618" s="10"/>
      <c r="O618" s="11"/>
      <c r="P618" s="10"/>
      <c r="Q618" s="11"/>
      <c r="R618" s="10"/>
      <c r="S618" s="10"/>
    </row>
    <row r="619" customFormat="false" ht="15" hidden="false" customHeight="true" outlineLevel="0" collapsed="false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10"/>
      <c r="M619" s="10"/>
      <c r="N619" s="10"/>
      <c r="O619" s="11"/>
      <c r="P619" s="10"/>
      <c r="Q619" s="11"/>
      <c r="R619" s="10"/>
      <c r="S619" s="10"/>
    </row>
    <row r="620" customFormat="false" ht="15" hidden="false" customHeight="true" outlineLevel="0" collapsed="false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10"/>
      <c r="M620" s="10"/>
      <c r="N620" s="10"/>
      <c r="O620" s="11"/>
      <c r="P620" s="10"/>
      <c r="Q620" s="11"/>
      <c r="R620" s="10"/>
      <c r="S620" s="10"/>
    </row>
    <row r="621" customFormat="false" ht="15" hidden="false" customHeight="true" outlineLevel="0" collapsed="false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10"/>
      <c r="M621" s="10"/>
      <c r="N621" s="10"/>
      <c r="O621" s="11"/>
      <c r="P621" s="10"/>
      <c r="Q621" s="11"/>
      <c r="R621" s="10"/>
      <c r="S621" s="10"/>
    </row>
    <row r="622" customFormat="false" ht="15" hidden="false" customHeight="true" outlineLevel="0" collapsed="false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10"/>
      <c r="M622" s="10"/>
      <c r="N622" s="10"/>
      <c r="O622" s="11"/>
      <c r="P622" s="10"/>
      <c r="Q622" s="11"/>
      <c r="R622" s="10"/>
      <c r="S622" s="10"/>
    </row>
    <row r="623" customFormat="false" ht="15" hidden="false" customHeight="true" outlineLevel="0" collapsed="false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10"/>
      <c r="M623" s="10"/>
      <c r="N623" s="10"/>
      <c r="O623" s="11"/>
      <c r="P623" s="10"/>
      <c r="Q623" s="11"/>
      <c r="R623" s="10"/>
      <c r="S623" s="10"/>
    </row>
    <row r="624" customFormat="false" ht="15" hidden="false" customHeight="true" outlineLevel="0" collapsed="false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10"/>
      <c r="M624" s="10"/>
      <c r="N624" s="10"/>
      <c r="O624" s="11"/>
      <c r="P624" s="10"/>
      <c r="Q624" s="11"/>
      <c r="R624" s="10"/>
      <c r="S624" s="10"/>
    </row>
    <row r="625" customFormat="false" ht="15" hidden="false" customHeight="true" outlineLevel="0" collapsed="false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10"/>
      <c r="M625" s="10"/>
      <c r="N625" s="10"/>
      <c r="O625" s="11"/>
      <c r="P625" s="10"/>
      <c r="Q625" s="11"/>
      <c r="R625" s="10"/>
      <c r="S625" s="10"/>
    </row>
    <row r="626" customFormat="false" ht="15" hidden="false" customHeight="true" outlineLevel="0" collapsed="false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10"/>
      <c r="M626" s="10"/>
      <c r="N626" s="10"/>
      <c r="O626" s="11"/>
      <c r="P626" s="10"/>
      <c r="Q626" s="11"/>
      <c r="R626" s="10"/>
      <c r="S626" s="10"/>
    </row>
    <row r="627" customFormat="false" ht="15" hidden="false" customHeight="true" outlineLevel="0" collapsed="false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10"/>
      <c r="M627" s="10"/>
      <c r="N627" s="10"/>
      <c r="O627" s="11"/>
      <c r="P627" s="10"/>
      <c r="Q627" s="11"/>
      <c r="R627" s="10"/>
      <c r="S627" s="10"/>
    </row>
    <row r="628" customFormat="false" ht="15" hidden="false" customHeight="true" outlineLevel="0" collapsed="false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10"/>
      <c r="M628" s="10"/>
      <c r="N628" s="10"/>
      <c r="O628" s="11"/>
      <c r="P628" s="10"/>
      <c r="Q628" s="11"/>
      <c r="R628" s="10"/>
      <c r="S628" s="10"/>
    </row>
    <row r="629" customFormat="false" ht="15" hidden="false" customHeight="true" outlineLevel="0" collapsed="false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10"/>
      <c r="M629" s="10"/>
      <c r="N629" s="10"/>
      <c r="O629" s="11"/>
      <c r="P629" s="10"/>
      <c r="Q629" s="11"/>
      <c r="R629" s="10"/>
      <c r="S629" s="10"/>
    </row>
    <row r="630" customFormat="false" ht="15" hidden="false" customHeight="true" outlineLevel="0" collapsed="false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10"/>
      <c r="M630" s="10"/>
      <c r="N630" s="10"/>
      <c r="O630" s="11"/>
      <c r="P630" s="10"/>
      <c r="Q630" s="11"/>
      <c r="R630" s="10"/>
      <c r="S630" s="10"/>
    </row>
    <row r="631" customFormat="false" ht="15" hidden="false" customHeight="true" outlineLevel="0" collapsed="false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10"/>
      <c r="M631" s="10"/>
      <c r="N631" s="10"/>
      <c r="O631" s="11"/>
      <c r="P631" s="10"/>
      <c r="Q631" s="11"/>
      <c r="R631" s="10"/>
      <c r="S631" s="10"/>
    </row>
    <row r="632" customFormat="false" ht="15" hidden="false" customHeight="true" outlineLevel="0" collapsed="false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10"/>
      <c r="M632" s="10"/>
      <c r="N632" s="10"/>
      <c r="O632" s="11"/>
      <c r="P632" s="10"/>
      <c r="Q632" s="11"/>
      <c r="R632" s="10"/>
      <c r="S632" s="10"/>
    </row>
    <row r="633" customFormat="false" ht="15" hidden="false" customHeight="true" outlineLevel="0" collapsed="false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10"/>
      <c r="M633" s="10"/>
      <c r="N633" s="10"/>
      <c r="O633" s="11"/>
      <c r="P633" s="10"/>
      <c r="Q633" s="11"/>
      <c r="R633" s="10"/>
      <c r="S633" s="10"/>
    </row>
    <row r="634" customFormat="false" ht="15" hidden="false" customHeight="true" outlineLevel="0" collapsed="false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10"/>
      <c r="M634" s="10"/>
      <c r="N634" s="10"/>
      <c r="O634" s="11"/>
      <c r="P634" s="10"/>
      <c r="Q634" s="11"/>
      <c r="R634" s="10"/>
      <c r="S634" s="10"/>
    </row>
    <row r="635" customFormat="false" ht="15" hidden="false" customHeight="true" outlineLevel="0" collapsed="false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10"/>
      <c r="M635" s="10"/>
      <c r="N635" s="10"/>
      <c r="O635" s="11"/>
      <c r="P635" s="10"/>
      <c r="Q635" s="11"/>
      <c r="R635" s="10"/>
      <c r="S635" s="10"/>
    </row>
    <row r="636" customFormat="false" ht="15" hidden="false" customHeight="true" outlineLevel="0" collapsed="false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10"/>
      <c r="M636" s="10"/>
      <c r="N636" s="10"/>
      <c r="O636" s="11"/>
      <c r="P636" s="10"/>
      <c r="Q636" s="11"/>
      <c r="R636" s="10"/>
      <c r="S636" s="10"/>
    </row>
    <row r="637" customFormat="false" ht="15" hidden="false" customHeight="true" outlineLevel="0" collapsed="false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10"/>
      <c r="M637" s="10"/>
      <c r="N637" s="10"/>
      <c r="O637" s="11"/>
      <c r="P637" s="10"/>
      <c r="Q637" s="11"/>
      <c r="R637" s="10"/>
      <c r="S637" s="10"/>
    </row>
    <row r="638" customFormat="false" ht="15" hidden="false" customHeight="true" outlineLevel="0" collapsed="false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10"/>
      <c r="M638" s="10"/>
      <c r="N638" s="10"/>
      <c r="O638" s="11"/>
      <c r="P638" s="10"/>
      <c r="Q638" s="11"/>
      <c r="R638" s="10"/>
      <c r="S638" s="10"/>
    </row>
    <row r="639" customFormat="false" ht="15" hidden="false" customHeight="true" outlineLevel="0" collapsed="false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10"/>
      <c r="M639" s="10"/>
      <c r="N639" s="10"/>
      <c r="O639" s="11"/>
      <c r="P639" s="10"/>
      <c r="Q639" s="11"/>
      <c r="R639" s="10"/>
      <c r="S639" s="10"/>
    </row>
    <row r="640" customFormat="false" ht="15" hidden="false" customHeight="true" outlineLevel="0" collapsed="false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10"/>
      <c r="M640" s="10"/>
      <c r="N640" s="10"/>
      <c r="O640" s="11"/>
      <c r="P640" s="10"/>
      <c r="Q640" s="11"/>
      <c r="R640" s="10"/>
      <c r="S640" s="10"/>
    </row>
    <row r="641" customFormat="false" ht="15" hidden="false" customHeight="true" outlineLevel="0" collapsed="false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10"/>
      <c r="M641" s="10"/>
      <c r="N641" s="10"/>
      <c r="O641" s="11"/>
      <c r="P641" s="10"/>
      <c r="Q641" s="11"/>
      <c r="R641" s="10"/>
      <c r="S641" s="10"/>
    </row>
    <row r="642" customFormat="false" ht="15" hidden="false" customHeight="true" outlineLevel="0" collapsed="false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10"/>
      <c r="M642" s="10"/>
      <c r="N642" s="10"/>
      <c r="O642" s="11"/>
      <c r="P642" s="10"/>
      <c r="Q642" s="11"/>
      <c r="R642" s="10"/>
      <c r="S642" s="10"/>
    </row>
    <row r="643" customFormat="false" ht="15" hidden="false" customHeight="true" outlineLevel="0" collapsed="false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10"/>
      <c r="M643" s="10"/>
      <c r="N643" s="10"/>
      <c r="O643" s="11"/>
      <c r="P643" s="10"/>
      <c r="Q643" s="11"/>
      <c r="R643" s="10"/>
      <c r="S643" s="10"/>
    </row>
    <row r="644" customFormat="false" ht="15" hidden="false" customHeight="true" outlineLevel="0" collapsed="false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10"/>
      <c r="M644" s="10"/>
      <c r="N644" s="10"/>
      <c r="O644" s="11"/>
      <c r="P644" s="10"/>
      <c r="Q644" s="11"/>
      <c r="R644" s="10"/>
      <c r="S644" s="10"/>
    </row>
    <row r="645" customFormat="false" ht="15" hidden="false" customHeight="true" outlineLevel="0" collapsed="false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10"/>
      <c r="M645" s="10"/>
      <c r="N645" s="10"/>
      <c r="O645" s="11"/>
      <c r="P645" s="10"/>
      <c r="Q645" s="11"/>
      <c r="R645" s="10"/>
      <c r="S645" s="10"/>
    </row>
    <row r="646" customFormat="false" ht="15" hidden="false" customHeight="true" outlineLevel="0" collapsed="false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10"/>
      <c r="M646" s="10"/>
      <c r="N646" s="10"/>
      <c r="O646" s="11"/>
      <c r="P646" s="10"/>
      <c r="Q646" s="11"/>
      <c r="R646" s="10"/>
      <c r="S646" s="10"/>
    </row>
    <row r="647" customFormat="false" ht="15" hidden="false" customHeight="true" outlineLevel="0" collapsed="false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10"/>
      <c r="M647" s="10"/>
      <c r="N647" s="10"/>
      <c r="O647" s="11"/>
      <c r="P647" s="10"/>
      <c r="Q647" s="11"/>
      <c r="R647" s="10"/>
      <c r="S647" s="10"/>
    </row>
    <row r="648" customFormat="false" ht="15" hidden="false" customHeight="true" outlineLevel="0" collapsed="false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10"/>
      <c r="M648" s="10"/>
      <c r="N648" s="10"/>
      <c r="O648" s="11"/>
      <c r="P648" s="10"/>
      <c r="Q648" s="11"/>
      <c r="R648" s="10"/>
      <c r="S648" s="10"/>
    </row>
    <row r="649" customFormat="false" ht="15" hidden="false" customHeight="true" outlineLevel="0" collapsed="false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10"/>
      <c r="M649" s="10"/>
      <c r="N649" s="10"/>
      <c r="O649" s="11"/>
      <c r="P649" s="10"/>
      <c r="Q649" s="11"/>
      <c r="R649" s="10"/>
      <c r="S649" s="10"/>
    </row>
    <row r="650" customFormat="false" ht="15" hidden="false" customHeight="true" outlineLevel="0" collapsed="false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10"/>
      <c r="M650" s="10"/>
      <c r="N650" s="10"/>
      <c r="O650" s="11"/>
      <c r="P650" s="10"/>
      <c r="Q650" s="11"/>
      <c r="R650" s="10"/>
      <c r="S650" s="10"/>
    </row>
    <row r="651" customFormat="false" ht="15" hidden="false" customHeight="true" outlineLevel="0" collapsed="false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10"/>
      <c r="M651" s="10"/>
      <c r="N651" s="10"/>
      <c r="O651" s="11"/>
      <c r="P651" s="10"/>
      <c r="Q651" s="11"/>
      <c r="R651" s="10"/>
      <c r="S651" s="10"/>
    </row>
    <row r="652" customFormat="false" ht="15" hidden="false" customHeight="true" outlineLevel="0" collapsed="false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10"/>
      <c r="M652" s="10"/>
      <c r="N652" s="10"/>
      <c r="O652" s="11"/>
      <c r="P652" s="10"/>
      <c r="Q652" s="11"/>
      <c r="R652" s="10"/>
      <c r="S652" s="10"/>
    </row>
    <row r="653" customFormat="false" ht="15" hidden="false" customHeight="true" outlineLevel="0" collapsed="false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10"/>
      <c r="M653" s="10"/>
      <c r="N653" s="10"/>
      <c r="O653" s="11"/>
      <c r="P653" s="10"/>
      <c r="Q653" s="11"/>
      <c r="R653" s="10"/>
      <c r="S653" s="10"/>
    </row>
    <row r="654" customFormat="false" ht="15" hidden="false" customHeight="true" outlineLevel="0" collapsed="false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10"/>
      <c r="M654" s="10"/>
      <c r="N654" s="10"/>
      <c r="O654" s="11"/>
      <c r="P654" s="10"/>
      <c r="Q654" s="11"/>
      <c r="R654" s="10"/>
      <c r="S654" s="10"/>
    </row>
    <row r="655" customFormat="false" ht="15" hidden="false" customHeight="true" outlineLevel="0" collapsed="false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10"/>
      <c r="M655" s="10"/>
      <c r="N655" s="10"/>
      <c r="O655" s="11"/>
      <c r="P655" s="10"/>
      <c r="Q655" s="11"/>
      <c r="R655" s="10"/>
      <c r="S655" s="10"/>
    </row>
    <row r="656" customFormat="false" ht="15" hidden="false" customHeight="true" outlineLevel="0" collapsed="false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10"/>
      <c r="M656" s="10"/>
      <c r="N656" s="10"/>
      <c r="O656" s="11"/>
      <c r="P656" s="10"/>
      <c r="Q656" s="11"/>
      <c r="R656" s="10"/>
      <c r="S656" s="10"/>
    </row>
    <row r="657" customFormat="false" ht="15" hidden="false" customHeight="true" outlineLevel="0" collapsed="false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10"/>
      <c r="M657" s="10"/>
      <c r="N657" s="10"/>
      <c r="O657" s="11"/>
      <c r="P657" s="10"/>
      <c r="Q657" s="11"/>
      <c r="R657" s="10"/>
      <c r="S657" s="10"/>
    </row>
    <row r="658" customFormat="false" ht="15" hidden="false" customHeight="true" outlineLevel="0" collapsed="false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10"/>
      <c r="M658" s="10"/>
      <c r="N658" s="10"/>
      <c r="O658" s="11"/>
      <c r="P658" s="10"/>
      <c r="Q658" s="11"/>
      <c r="R658" s="10"/>
      <c r="S658" s="10"/>
    </row>
    <row r="659" customFormat="false" ht="15" hidden="false" customHeight="true" outlineLevel="0" collapsed="false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10"/>
      <c r="M659" s="10"/>
      <c r="N659" s="10"/>
      <c r="O659" s="11"/>
      <c r="P659" s="10"/>
      <c r="Q659" s="11"/>
      <c r="R659" s="10"/>
      <c r="S659" s="10"/>
    </row>
    <row r="660" customFormat="false" ht="15" hidden="false" customHeight="true" outlineLevel="0" collapsed="false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10"/>
      <c r="M660" s="10"/>
      <c r="N660" s="10"/>
      <c r="O660" s="11"/>
      <c r="P660" s="10"/>
      <c r="Q660" s="11"/>
      <c r="R660" s="10"/>
      <c r="S660" s="10"/>
    </row>
    <row r="661" customFormat="false" ht="15" hidden="false" customHeight="true" outlineLevel="0" collapsed="false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10"/>
      <c r="M661" s="10"/>
      <c r="N661" s="10"/>
      <c r="O661" s="11"/>
      <c r="P661" s="10"/>
      <c r="Q661" s="11"/>
      <c r="R661" s="10"/>
      <c r="S661" s="10"/>
    </row>
    <row r="662" customFormat="false" ht="15" hidden="false" customHeight="true" outlineLevel="0" collapsed="false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10"/>
      <c r="M662" s="10"/>
      <c r="N662" s="10"/>
      <c r="O662" s="11"/>
      <c r="P662" s="10"/>
      <c r="Q662" s="11"/>
      <c r="R662" s="10"/>
      <c r="S662" s="10"/>
    </row>
    <row r="663" customFormat="false" ht="15" hidden="false" customHeight="true" outlineLevel="0" collapsed="false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10"/>
      <c r="M663" s="10"/>
      <c r="N663" s="10"/>
      <c r="O663" s="11"/>
      <c r="P663" s="10"/>
      <c r="Q663" s="11"/>
      <c r="R663" s="10"/>
      <c r="S663" s="10"/>
    </row>
    <row r="664" customFormat="false" ht="15" hidden="false" customHeight="true" outlineLevel="0" collapsed="false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10"/>
      <c r="M664" s="10"/>
      <c r="N664" s="10"/>
      <c r="O664" s="11"/>
      <c r="P664" s="10"/>
      <c r="Q664" s="11"/>
      <c r="R664" s="10"/>
      <c r="S664" s="10"/>
    </row>
    <row r="665" customFormat="false" ht="15" hidden="false" customHeight="true" outlineLevel="0" collapsed="false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10"/>
      <c r="M665" s="10"/>
      <c r="N665" s="10"/>
      <c r="O665" s="11"/>
      <c r="P665" s="10"/>
      <c r="Q665" s="11"/>
      <c r="R665" s="10"/>
      <c r="S665" s="10"/>
    </row>
    <row r="666" customFormat="false" ht="15" hidden="false" customHeight="true" outlineLevel="0" collapsed="false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10"/>
      <c r="M666" s="10"/>
      <c r="N666" s="10"/>
      <c r="O666" s="11"/>
      <c r="P666" s="10"/>
      <c r="Q666" s="11"/>
      <c r="R666" s="10"/>
      <c r="S666" s="10"/>
    </row>
    <row r="667" customFormat="false" ht="15" hidden="false" customHeight="true" outlineLevel="0" collapsed="false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10"/>
      <c r="M667" s="10"/>
      <c r="N667" s="10"/>
      <c r="O667" s="11"/>
      <c r="P667" s="10"/>
      <c r="Q667" s="11"/>
      <c r="R667" s="10"/>
      <c r="S667" s="10"/>
    </row>
    <row r="668" customFormat="false" ht="15" hidden="false" customHeight="true" outlineLevel="0" collapsed="false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10"/>
      <c r="M668" s="10"/>
      <c r="N668" s="10"/>
      <c r="O668" s="11"/>
      <c r="P668" s="10"/>
      <c r="Q668" s="11"/>
      <c r="R668" s="10"/>
      <c r="S668" s="10"/>
    </row>
    <row r="669" customFormat="false" ht="15" hidden="false" customHeight="true" outlineLevel="0" collapsed="false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10"/>
      <c r="M669" s="10"/>
      <c r="N669" s="10"/>
      <c r="O669" s="11"/>
      <c r="P669" s="10"/>
      <c r="Q669" s="11"/>
      <c r="R669" s="10"/>
      <c r="S669" s="10"/>
    </row>
    <row r="670" customFormat="false" ht="15" hidden="false" customHeight="true" outlineLevel="0" collapsed="false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10"/>
      <c r="M670" s="10"/>
      <c r="N670" s="10"/>
      <c r="O670" s="11"/>
      <c r="P670" s="10"/>
      <c r="Q670" s="11"/>
      <c r="R670" s="10"/>
      <c r="S670" s="10"/>
    </row>
    <row r="671" customFormat="false" ht="15" hidden="false" customHeight="true" outlineLevel="0" collapsed="false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10"/>
      <c r="M671" s="10"/>
      <c r="N671" s="10"/>
      <c r="O671" s="11"/>
      <c r="P671" s="10"/>
      <c r="Q671" s="11"/>
      <c r="R671" s="10"/>
      <c r="S671" s="10"/>
    </row>
    <row r="672" customFormat="false" ht="15" hidden="false" customHeight="true" outlineLevel="0" collapsed="false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10"/>
      <c r="M672" s="10"/>
      <c r="N672" s="10"/>
      <c r="O672" s="11"/>
      <c r="P672" s="10"/>
      <c r="Q672" s="11"/>
      <c r="R672" s="10"/>
      <c r="S672" s="10"/>
    </row>
    <row r="673" customFormat="false" ht="15" hidden="false" customHeight="true" outlineLevel="0" collapsed="false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10"/>
      <c r="M673" s="10"/>
      <c r="N673" s="10"/>
      <c r="O673" s="11"/>
      <c r="P673" s="10"/>
      <c r="Q673" s="11"/>
      <c r="R673" s="10"/>
      <c r="S673" s="10"/>
    </row>
    <row r="674" customFormat="false" ht="15" hidden="false" customHeight="true" outlineLevel="0" collapsed="false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10"/>
      <c r="M674" s="10"/>
      <c r="N674" s="10"/>
      <c r="O674" s="11"/>
      <c r="P674" s="10"/>
      <c r="Q674" s="11"/>
      <c r="R674" s="10"/>
      <c r="S674" s="10"/>
    </row>
    <row r="675" customFormat="false" ht="15" hidden="false" customHeight="true" outlineLevel="0" collapsed="false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10"/>
      <c r="M675" s="10"/>
      <c r="N675" s="10"/>
      <c r="O675" s="11"/>
      <c r="P675" s="10"/>
      <c r="Q675" s="11"/>
      <c r="R675" s="10"/>
      <c r="S675" s="10"/>
    </row>
    <row r="676" customFormat="false" ht="15" hidden="false" customHeight="true" outlineLevel="0" collapsed="false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10"/>
      <c r="M676" s="10"/>
      <c r="N676" s="10"/>
      <c r="O676" s="11"/>
      <c r="P676" s="10"/>
      <c r="Q676" s="11"/>
      <c r="R676" s="10"/>
      <c r="S676" s="10"/>
    </row>
    <row r="677" customFormat="false" ht="15" hidden="false" customHeight="true" outlineLevel="0" collapsed="false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10"/>
      <c r="M677" s="10"/>
      <c r="N677" s="10"/>
      <c r="O677" s="11"/>
      <c r="P677" s="10"/>
      <c r="Q677" s="11"/>
      <c r="R677" s="10"/>
      <c r="S677" s="10"/>
    </row>
    <row r="678" customFormat="false" ht="15" hidden="false" customHeight="true" outlineLevel="0" collapsed="false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10"/>
      <c r="M678" s="10"/>
      <c r="N678" s="10"/>
      <c r="O678" s="11"/>
      <c r="P678" s="10"/>
      <c r="Q678" s="11"/>
      <c r="R678" s="10"/>
      <c r="S678" s="10"/>
    </row>
    <row r="679" customFormat="false" ht="15" hidden="false" customHeight="true" outlineLevel="0" collapsed="false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10"/>
      <c r="M679" s="10"/>
      <c r="N679" s="10"/>
      <c r="O679" s="11"/>
      <c r="P679" s="10"/>
      <c r="Q679" s="11"/>
      <c r="R679" s="10"/>
      <c r="S679" s="10"/>
    </row>
    <row r="680" customFormat="false" ht="15" hidden="false" customHeight="true" outlineLevel="0" collapsed="false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10"/>
      <c r="M680" s="10"/>
      <c r="N680" s="10"/>
      <c r="O680" s="11"/>
      <c r="P680" s="10"/>
      <c r="Q680" s="11"/>
      <c r="R680" s="10"/>
      <c r="S680" s="10"/>
    </row>
    <row r="681" customFormat="false" ht="15" hidden="false" customHeight="true" outlineLevel="0" collapsed="false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10"/>
      <c r="M681" s="10"/>
      <c r="N681" s="10"/>
      <c r="O681" s="11"/>
      <c r="P681" s="10"/>
      <c r="Q681" s="11"/>
      <c r="R681" s="10"/>
      <c r="S681" s="10"/>
    </row>
    <row r="682" customFormat="false" ht="15" hidden="false" customHeight="true" outlineLevel="0" collapsed="false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10"/>
      <c r="M682" s="10"/>
      <c r="N682" s="10"/>
      <c r="O682" s="11"/>
      <c r="P682" s="10"/>
      <c r="Q682" s="11"/>
      <c r="R682" s="10"/>
      <c r="S682" s="10"/>
    </row>
    <row r="683" customFormat="false" ht="15" hidden="false" customHeight="true" outlineLevel="0" collapsed="false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10"/>
      <c r="M683" s="10"/>
      <c r="N683" s="10"/>
      <c r="O683" s="11"/>
      <c r="P683" s="10"/>
      <c r="Q683" s="11"/>
      <c r="R683" s="10"/>
      <c r="S683" s="10"/>
    </row>
    <row r="684" customFormat="false" ht="15" hidden="false" customHeight="true" outlineLevel="0" collapsed="false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10"/>
      <c r="M684" s="10"/>
      <c r="N684" s="10"/>
      <c r="O684" s="11"/>
      <c r="P684" s="10"/>
      <c r="Q684" s="11"/>
      <c r="R684" s="10"/>
      <c r="S684" s="10"/>
    </row>
    <row r="685" customFormat="false" ht="15" hidden="false" customHeight="true" outlineLevel="0" collapsed="false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10"/>
      <c r="M685" s="10"/>
      <c r="N685" s="10"/>
      <c r="O685" s="11"/>
      <c r="P685" s="10"/>
      <c r="Q685" s="11"/>
      <c r="R685" s="10"/>
      <c r="S685" s="10"/>
    </row>
    <row r="686" customFormat="false" ht="15" hidden="false" customHeight="true" outlineLevel="0" collapsed="false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10"/>
      <c r="M686" s="10"/>
      <c r="N686" s="10"/>
      <c r="O686" s="11"/>
      <c r="P686" s="10"/>
      <c r="Q686" s="11"/>
      <c r="R686" s="10"/>
      <c r="S686" s="10"/>
    </row>
    <row r="687" customFormat="false" ht="15" hidden="false" customHeight="true" outlineLevel="0" collapsed="false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10"/>
      <c r="M687" s="10"/>
      <c r="N687" s="10"/>
      <c r="O687" s="11"/>
      <c r="P687" s="10"/>
      <c r="Q687" s="11"/>
      <c r="R687" s="10"/>
      <c r="S687" s="10"/>
    </row>
    <row r="688" customFormat="false" ht="15" hidden="false" customHeight="true" outlineLevel="0" collapsed="false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10"/>
      <c r="M688" s="10"/>
      <c r="N688" s="10"/>
      <c r="O688" s="11"/>
      <c r="P688" s="10"/>
      <c r="Q688" s="11"/>
      <c r="R688" s="10"/>
      <c r="S688" s="10"/>
    </row>
    <row r="689" customFormat="false" ht="15" hidden="false" customHeight="true" outlineLevel="0" collapsed="false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10"/>
      <c r="M689" s="10"/>
      <c r="N689" s="10"/>
      <c r="O689" s="11"/>
      <c r="P689" s="10"/>
      <c r="Q689" s="11"/>
      <c r="R689" s="10"/>
      <c r="S689" s="10"/>
    </row>
    <row r="690" customFormat="false" ht="15" hidden="false" customHeight="true" outlineLevel="0" collapsed="false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10"/>
      <c r="M690" s="10"/>
      <c r="N690" s="10"/>
      <c r="O690" s="11"/>
      <c r="P690" s="10"/>
      <c r="Q690" s="11"/>
      <c r="R690" s="10"/>
      <c r="S690" s="10"/>
    </row>
    <row r="691" customFormat="false" ht="15" hidden="false" customHeight="true" outlineLevel="0" collapsed="false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10"/>
      <c r="M691" s="10"/>
      <c r="N691" s="10"/>
      <c r="O691" s="11"/>
      <c r="P691" s="10"/>
      <c r="Q691" s="11"/>
      <c r="R691" s="10"/>
      <c r="S691" s="10"/>
    </row>
    <row r="692" customFormat="false" ht="15" hidden="false" customHeight="true" outlineLevel="0" collapsed="false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10"/>
      <c r="M692" s="10"/>
      <c r="N692" s="10"/>
      <c r="O692" s="11"/>
      <c r="P692" s="10"/>
      <c r="Q692" s="11"/>
      <c r="R692" s="10"/>
      <c r="S692" s="10"/>
    </row>
    <row r="693" customFormat="false" ht="15" hidden="false" customHeight="true" outlineLevel="0" collapsed="false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10"/>
      <c r="M693" s="10"/>
      <c r="N693" s="10"/>
      <c r="O693" s="11"/>
      <c r="P693" s="10"/>
      <c r="Q693" s="11"/>
      <c r="R693" s="10"/>
      <c r="S693" s="10"/>
    </row>
    <row r="694" customFormat="false" ht="15" hidden="false" customHeight="true" outlineLevel="0" collapsed="false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10"/>
      <c r="M694" s="10"/>
      <c r="N694" s="10"/>
      <c r="O694" s="11"/>
      <c r="P694" s="10"/>
      <c r="Q694" s="11"/>
      <c r="R694" s="10"/>
      <c r="S694" s="10"/>
    </row>
    <row r="695" customFormat="false" ht="15" hidden="false" customHeight="true" outlineLevel="0" collapsed="false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10"/>
      <c r="M695" s="10"/>
      <c r="N695" s="10"/>
      <c r="O695" s="11"/>
      <c r="P695" s="10"/>
      <c r="Q695" s="11"/>
      <c r="R695" s="10"/>
      <c r="S695" s="10"/>
    </row>
    <row r="696" customFormat="false" ht="15" hidden="false" customHeight="true" outlineLevel="0" collapsed="false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10"/>
      <c r="M696" s="10"/>
      <c r="N696" s="10"/>
      <c r="O696" s="11"/>
      <c r="P696" s="10"/>
      <c r="Q696" s="11"/>
      <c r="R696" s="10"/>
      <c r="S696" s="10"/>
    </row>
    <row r="697" customFormat="false" ht="15" hidden="false" customHeight="true" outlineLevel="0" collapsed="false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10"/>
      <c r="M697" s="10"/>
      <c r="N697" s="10"/>
      <c r="O697" s="11"/>
      <c r="P697" s="10"/>
      <c r="Q697" s="11"/>
      <c r="R697" s="10"/>
      <c r="S697" s="10"/>
    </row>
    <row r="698" customFormat="false" ht="15" hidden="false" customHeight="true" outlineLevel="0" collapsed="false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10"/>
      <c r="M698" s="10"/>
      <c r="N698" s="10"/>
      <c r="O698" s="11"/>
      <c r="P698" s="10"/>
      <c r="Q698" s="11"/>
      <c r="R698" s="10"/>
      <c r="S698" s="10"/>
    </row>
    <row r="699" customFormat="false" ht="15" hidden="false" customHeight="true" outlineLevel="0" collapsed="false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10"/>
      <c r="M699" s="10"/>
      <c r="N699" s="10"/>
      <c r="O699" s="11"/>
      <c r="P699" s="10"/>
      <c r="Q699" s="11"/>
      <c r="R699" s="10"/>
      <c r="S699" s="10"/>
    </row>
    <row r="700" customFormat="false" ht="15" hidden="false" customHeight="true" outlineLevel="0" collapsed="false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10"/>
      <c r="M700" s="10"/>
      <c r="N700" s="10"/>
      <c r="O700" s="11"/>
      <c r="P700" s="10"/>
      <c r="Q700" s="11"/>
      <c r="R700" s="10"/>
      <c r="S700" s="10"/>
    </row>
    <row r="701" customFormat="false" ht="15" hidden="false" customHeight="true" outlineLevel="0" collapsed="false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10"/>
      <c r="M701" s="10"/>
      <c r="N701" s="10"/>
      <c r="O701" s="11"/>
      <c r="P701" s="10"/>
      <c r="Q701" s="11"/>
      <c r="R701" s="10"/>
      <c r="S701" s="10"/>
    </row>
    <row r="702" customFormat="false" ht="15" hidden="false" customHeight="true" outlineLevel="0" collapsed="false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10"/>
      <c r="M702" s="10"/>
      <c r="N702" s="10"/>
      <c r="O702" s="11"/>
      <c r="P702" s="10"/>
      <c r="Q702" s="11"/>
      <c r="R702" s="10"/>
      <c r="S702" s="10"/>
    </row>
    <row r="703" customFormat="false" ht="15" hidden="false" customHeight="true" outlineLevel="0" collapsed="false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10"/>
      <c r="M703" s="10"/>
      <c r="N703" s="10"/>
      <c r="O703" s="11"/>
      <c r="P703" s="10"/>
      <c r="Q703" s="11"/>
      <c r="R703" s="10"/>
      <c r="S703" s="10"/>
    </row>
    <row r="704" customFormat="false" ht="15" hidden="false" customHeight="true" outlineLevel="0" collapsed="false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10"/>
      <c r="M704" s="10"/>
      <c r="N704" s="10"/>
      <c r="O704" s="11"/>
      <c r="P704" s="10"/>
      <c r="Q704" s="11"/>
      <c r="R704" s="10"/>
      <c r="S704" s="10"/>
    </row>
    <row r="705" customFormat="false" ht="15" hidden="false" customHeight="true" outlineLevel="0" collapsed="false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10"/>
      <c r="M705" s="10"/>
      <c r="N705" s="10"/>
      <c r="O705" s="11"/>
      <c r="P705" s="10"/>
      <c r="Q705" s="11"/>
      <c r="R705" s="10"/>
      <c r="S705" s="10"/>
    </row>
    <row r="706" customFormat="false" ht="15" hidden="false" customHeight="true" outlineLevel="0" collapsed="false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10"/>
      <c r="M706" s="10"/>
      <c r="N706" s="10"/>
      <c r="O706" s="11"/>
      <c r="P706" s="10"/>
      <c r="Q706" s="11"/>
      <c r="R706" s="10"/>
      <c r="S706" s="10"/>
    </row>
    <row r="707" customFormat="false" ht="15" hidden="false" customHeight="true" outlineLevel="0" collapsed="false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10"/>
      <c r="M707" s="10"/>
      <c r="N707" s="10"/>
      <c r="O707" s="11"/>
      <c r="P707" s="10"/>
      <c r="Q707" s="11"/>
      <c r="R707" s="10"/>
      <c r="S707" s="10"/>
    </row>
    <row r="708" customFormat="false" ht="15" hidden="false" customHeight="true" outlineLevel="0" collapsed="false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10"/>
      <c r="M708" s="10"/>
      <c r="N708" s="10"/>
      <c r="O708" s="11"/>
      <c r="P708" s="10"/>
      <c r="Q708" s="11"/>
      <c r="R708" s="10"/>
      <c r="S708" s="10"/>
    </row>
    <row r="709" customFormat="false" ht="15" hidden="false" customHeight="true" outlineLevel="0" collapsed="false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10"/>
      <c r="M709" s="10"/>
      <c r="N709" s="10"/>
      <c r="O709" s="11"/>
      <c r="P709" s="10"/>
      <c r="Q709" s="11"/>
      <c r="R709" s="10"/>
      <c r="S709" s="10"/>
    </row>
    <row r="710" customFormat="false" ht="15" hidden="false" customHeight="true" outlineLevel="0" collapsed="false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10"/>
      <c r="M710" s="10"/>
      <c r="N710" s="10"/>
      <c r="O710" s="11"/>
      <c r="P710" s="10"/>
      <c r="Q710" s="11"/>
      <c r="R710" s="10"/>
      <c r="S710" s="10"/>
    </row>
    <row r="711" customFormat="false" ht="15" hidden="false" customHeight="true" outlineLevel="0" collapsed="false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10"/>
      <c r="M711" s="10"/>
      <c r="N711" s="10"/>
      <c r="O711" s="11"/>
      <c r="P711" s="10"/>
      <c r="Q711" s="11"/>
      <c r="R711" s="10"/>
      <c r="S711" s="10"/>
    </row>
    <row r="712" customFormat="false" ht="15" hidden="false" customHeight="true" outlineLevel="0" collapsed="false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10"/>
      <c r="M712" s="10"/>
      <c r="N712" s="10"/>
      <c r="O712" s="11"/>
      <c r="P712" s="10"/>
      <c r="Q712" s="11"/>
      <c r="R712" s="10"/>
      <c r="S712" s="10"/>
    </row>
    <row r="713" customFormat="false" ht="15" hidden="false" customHeight="true" outlineLevel="0" collapsed="false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10"/>
      <c r="M713" s="10"/>
      <c r="N713" s="10"/>
      <c r="O713" s="11"/>
      <c r="P713" s="10"/>
      <c r="Q713" s="11"/>
      <c r="R713" s="10"/>
      <c r="S713" s="10"/>
    </row>
    <row r="714" customFormat="false" ht="15" hidden="false" customHeight="true" outlineLevel="0" collapsed="false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10"/>
      <c r="M714" s="10"/>
      <c r="N714" s="10"/>
      <c r="O714" s="11"/>
      <c r="P714" s="10"/>
      <c r="Q714" s="11"/>
      <c r="R714" s="10"/>
      <c r="S714" s="10"/>
    </row>
    <row r="715" customFormat="false" ht="15" hidden="false" customHeight="true" outlineLevel="0" collapsed="false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10"/>
      <c r="M715" s="10"/>
      <c r="N715" s="10"/>
      <c r="O715" s="11"/>
      <c r="P715" s="10"/>
      <c r="Q715" s="11"/>
      <c r="R715" s="10"/>
      <c r="S715" s="10"/>
    </row>
    <row r="716" customFormat="false" ht="15" hidden="false" customHeight="true" outlineLevel="0" collapsed="false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10"/>
      <c r="M716" s="10"/>
      <c r="N716" s="10"/>
      <c r="O716" s="11"/>
      <c r="P716" s="10"/>
      <c r="Q716" s="11"/>
      <c r="R716" s="10"/>
      <c r="S716" s="10"/>
    </row>
    <row r="717" customFormat="false" ht="15" hidden="false" customHeight="true" outlineLevel="0" collapsed="false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10"/>
      <c r="M717" s="10"/>
      <c r="N717" s="10"/>
      <c r="O717" s="11"/>
      <c r="P717" s="10"/>
      <c r="Q717" s="11"/>
      <c r="R717" s="10"/>
      <c r="S717" s="10"/>
    </row>
    <row r="718" customFormat="false" ht="15" hidden="false" customHeight="true" outlineLevel="0" collapsed="false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10"/>
      <c r="M718" s="10"/>
      <c r="N718" s="10"/>
      <c r="O718" s="11"/>
      <c r="P718" s="10"/>
      <c r="Q718" s="11"/>
      <c r="R718" s="10"/>
      <c r="S718" s="10"/>
    </row>
    <row r="719" customFormat="false" ht="15" hidden="false" customHeight="true" outlineLevel="0" collapsed="false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10"/>
      <c r="M719" s="10"/>
      <c r="N719" s="10"/>
      <c r="O719" s="11"/>
      <c r="P719" s="10"/>
      <c r="Q719" s="11"/>
      <c r="R719" s="10"/>
      <c r="S719" s="10"/>
    </row>
    <row r="720" customFormat="false" ht="15" hidden="false" customHeight="true" outlineLevel="0" collapsed="false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10"/>
      <c r="M720" s="10"/>
      <c r="N720" s="10"/>
      <c r="O720" s="11"/>
      <c r="P720" s="10"/>
      <c r="Q720" s="11"/>
      <c r="R720" s="10"/>
      <c r="S720" s="10"/>
    </row>
    <row r="721" customFormat="false" ht="15" hidden="false" customHeight="true" outlineLevel="0" collapsed="false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10"/>
      <c r="M721" s="10"/>
      <c r="N721" s="10"/>
      <c r="O721" s="11"/>
      <c r="P721" s="10"/>
      <c r="Q721" s="11"/>
      <c r="R721" s="10"/>
      <c r="S721" s="10"/>
    </row>
    <row r="722" customFormat="false" ht="15" hidden="false" customHeight="true" outlineLevel="0" collapsed="false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10"/>
      <c r="M722" s="10"/>
      <c r="N722" s="10"/>
      <c r="O722" s="11"/>
      <c r="P722" s="10"/>
      <c r="Q722" s="11"/>
      <c r="R722" s="10"/>
      <c r="S722" s="10"/>
    </row>
    <row r="723" customFormat="false" ht="15" hidden="false" customHeight="true" outlineLevel="0" collapsed="false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10"/>
      <c r="M723" s="10"/>
      <c r="N723" s="10"/>
      <c r="O723" s="11"/>
      <c r="P723" s="10"/>
      <c r="Q723" s="11"/>
      <c r="R723" s="10"/>
      <c r="S723" s="10"/>
    </row>
    <row r="724" customFormat="false" ht="15" hidden="false" customHeight="true" outlineLevel="0" collapsed="false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10"/>
      <c r="M724" s="10"/>
      <c r="N724" s="10"/>
      <c r="O724" s="11"/>
      <c r="P724" s="10"/>
      <c r="Q724" s="11"/>
      <c r="R724" s="10"/>
      <c r="S724" s="10"/>
    </row>
    <row r="725" customFormat="false" ht="15" hidden="false" customHeight="true" outlineLevel="0" collapsed="false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10"/>
      <c r="M725" s="10"/>
      <c r="N725" s="10"/>
      <c r="O725" s="11"/>
      <c r="P725" s="10"/>
      <c r="Q725" s="11"/>
      <c r="R725" s="10"/>
      <c r="S725" s="10"/>
    </row>
    <row r="726" customFormat="false" ht="15" hidden="false" customHeight="true" outlineLevel="0" collapsed="false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10"/>
      <c r="M726" s="10"/>
      <c r="N726" s="10"/>
      <c r="O726" s="11"/>
      <c r="P726" s="10"/>
      <c r="Q726" s="11"/>
      <c r="R726" s="10"/>
      <c r="S726" s="10"/>
    </row>
    <row r="727" customFormat="false" ht="15" hidden="false" customHeight="true" outlineLevel="0" collapsed="false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10"/>
      <c r="M727" s="10"/>
      <c r="N727" s="10"/>
      <c r="O727" s="11"/>
      <c r="P727" s="10"/>
      <c r="Q727" s="11"/>
      <c r="R727" s="10"/>
      <c r="S727" s="10"/>
    </row>
    <row r="728" customFormat="false" ht="15" hidden="false" customHeight="true" outlineLevel="0" collapsed="false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10"/>
      <c r="M728" s="10"/>
      <c r="N728" s="10"/>
      <c r="O728" s="11"/>
      <c r="P728" s="10"/>
      <c r="Q728" s="11"/>
      <c r="R728" s="10"/>
      <c r="S728" s="10"/>
    </row>
    <row r="729" customFormat="false" ht="15" hidden="false" customHeight="true" outlineLevel="0" collapsed="false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10"/>
      <c r="M729" s="10"/>
      <c r="N729" s="10"/>
      <c r="O729" s="11"/>
      <c r="P729" s="10"/>
      <c r="Q729" s="11"/>
      <c r="R729" s="10"/>
      <c r="S729" s="10"/>
    </row>
    <row r="730" customFormat="false" ht="15" hidden="false" customHeight="true" outlineLevel="0" collapsed="false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10"/>
      <c r="M730" s="10"/>
      <c r="N730" s="10"/>
      <c r="O730" s="11"/>
      <c r="P730" s="10"/>
      <c r="Q730" s="11"/>
      <c r="R730" s="10"/>
      <c r="S730" s="10"/>
    </row>
    <row r="731" customFormat="false" ht="15" hidden="false" customHeight="true" outlineLevel="0" collapsed="false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10"/>
      <c r="M731" s="10"/>
      <c r="N731" s="10"/>
      <c r="O731" s="11"/>
      <c r="P731" s="10"/>
      <c r="Q731" s="11"/>
      <c r="R731" s="10"/>
      <c r="S731" s="10"/>
    </row>
    <row r="732" customFormat="false" ht="15" hidden="false" customHeight="true" outlineLevel="0" collapsed="false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10"/>
      <c r="M732" s="10"/>
      <c r="N732" s="10"/>
      <c r="O732" s="11"/>
      <c r="P732" s="10"/>
      <c r="Q732" s="11"/>
      <c r="R732" s="10"/>
      <c r="S732" s="10"/>
    </row>
    <row r="733" customFormat="false" ht="15" hidden="false" customHeight="true" outlineLevel="0" collapsed="false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10"/>
      <c r="M733" s="10"/>
      <c r="N733" s="10"/>
      <c r="O733" s="11"/>
      <c r="P733" s="10"/>
      <c r="Q733" s="11"/>
      <c r="R733" s="10"/>
      <c r="S733" s="10"/>
    </row>
    <row r="734" customFormat="false" ht="15" hidden="false" customHeight="true" outlineLevel="0" collapsed="false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10"/>
      <c r="M734" s="10"/>
      <c r="N734" s="10"/>
      <c r="O734" s="11"/>
      <c r="P734" s="10"/>
      <c r="Q734" s="11"/>
      <c r="R734" s="10"/>
      <c r="S734" s="10"/>
    </row>
    <row r="735" customFormat="false" ht="15" hidden="false" customHeight="true" outlineLevel="0" collapsed="false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10"/>
      <c r="M735" s="10"/>
      <c r="N735" s="10"/>
      <c r="O735" s="11"/>
      <c r="P735" s="10"/>
      <c r="Q735" s="11"/>
      <c r="R735" s="10"/>
      <c r="S735" s="10"/>
    </row>
    <row r="736" customFormat="false" ht="15" hidden="false" customHeight="true" outlineLevel="0" collapsed="false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10"/>
      <c r="M736" s="10"/>
      <c r="N736" s="10"/>
      <c r="O736" s="11"/>
      <c r="P736" s="10"/>
      <c r="Q736" s="11"/>
      <c r="R736" s="10"/>
      <c r="S736" s="10"/>
    </row>
    <row r="737" customFormat="false" ht="15" hidden="false" customHeight="true" outlineLevel="0" collapsed="false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10"/>
      <c r="M737" s="10"/>
      <c r="N737" s="10"/>
      <c r="O737" s="11"/>
      <c r="P737" s="10"/>
      <c r="Q737" s="11"/>
      <c r="R737" s="10"/>
      <c r="S737" s="10"/>
    </row>
    <row r="738" customFormat="false" ht="15" hidden="false" customHeight="true" outlineLevel="0" collapsed="false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10"/>
      <c r="M738" s="10"/>
      <c r="N738" s="10"/>
      <c r="O738" s="11"/>
      <c r="P738" s="10"/>
      <c r="Q738" s="11"/>
      <c r="R738" s="10"/>
      <c r="S738" s="10"/>
    </row>
    <row r="739" customFormat="false" ht="15" hidden="false" customHeight="true" outlineLevel="0" collapsed="false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10"/>
      <c r="M739" s="10"/>
      <c r="N739" s="10"/>
      <c r="O739" s="11"/>
      <c r="P739" s="10"/>
      <c r="Q739" s="11"/>
      <c r="R739" s="10"/>
      <c r="S739" s="10"/>
    </row>
    <row r="740" customFormat="false" ht="15" hidden="false" customHeight="true" outlineLevel="0" collapsed="false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10"/>
      <c r="M740" s="10"/>
      <c r="N740" s="10"/>
      <c r="O740" s="11"/>
      <c r="P740" s="10"/>
      <c r="Q740" s="11"/>
      <c r="R740" s="10"/>
      <c r="S740" s="10"/>
    </row>
    <row r="741" customFormat="false" ht="15" hidden="false" customHeight="true" outlineLevel="0" collapsed="false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10"/>
      <c r="M741" s="10"/>
      <c r="N741" s="10"/>
      <c r="O741" s="11"/>
      <c r="P741" s="10"/>
      <c r="Q741" s="11"/>
      <c r="R741" s="10"/>
      <c r="S741" s="10"/>
    </row>
    <row r="742" customFormat="false" ht="15" hidden="false" customHeight="true" outlineLevel="0" collapsed="false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10"/>
      <c r="M742" s="10"/>
      <c r="N742" s="10"/>
      <c r="O742" s="11"/>
      <c r="P742" s="10"/>
      <c r="Q742" s="11"/>
      <c r="R742" s="10"/>
      <c r="S742" s="10"/>
    </row>
    <row r="743" customFormat="false" ht="15" hidden="false" customHeight="true" outlineLevel="0" collapsed="false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10"/>
      <c r="M743" s="10"/>
      <c r="N743" s="10"/>
      <c r="O743" s="11"/>
      <c r="P743" s="10"/>
      <c r="Q743" s="11"/>
      <c r="R743" s="10"/>
      <c r="S743" s="10"/>
    </row>
    <row r="744" customFormat="false" ht="15" hidden="false" customHeight="true" outlineLevel="0" collapsed="false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10"/>
      <c r="M744" s="10"/>
      <c r="N744" s="10"/>
      <c r="O744" s="11"/>
      <c r="P744" s="10"/>
      <c r="Q744" s="11"/>
      <c r="R744" s="10"/>
      <c r="S744" s="10"/>
    </row>
    <row r="745" customFormat="false" ht="15" hidden="false" customHeight="true" outlineLevel="0" collapsed="false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10"/>
      <c r="M745" s="10"/>
      <c r="N745" s="10"/>
      <c r="O745" s="11"/>
      <c r="P745" s="10"/>
      <c r="Q745" s="11"/>
      <c r="R745" s="10"/>
      <c r="S745" s="10"/>
    </row>
    <row r="746" customFormat="false" ht="15" hidden="false" customHeight="true" outlineLevel="0" collapsed="false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10"/>
      <c r="M746" s="10"/>
      <c r="N746" s="10"/>
      <c r="O746" s="11"/>
      <c r="P746" s="10"/>
      <c r="Q746" s="11"/>
      <c r="R746" s="10"/>
      <c r="S746" s="10"/>
    </row>
    <row r="747" customFormat="false" ht="15" hidden="false" customHeight="true" outlineLevel="0" collapsed="false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10"/>
      <c r="M747" s="10"/>
      <c r="N747" s="10"/>
      <c r="O747" s="11"/>
      <c r="P747" s="10"/>
      <c r="Q747" s="11"/>
      <c r="R747" s="10"/>
      <c r="S747" s="10"/>
    </row>
    <row r="748" customFormat="false" ht="15" hidden="false" customHeight="true" outlineLevel="0" collapsed="false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10"/>
      <c r="M748" s="10"/>
      <c r="N748" s="10"/>
      <c r="O748" s="11"/>
      <c r="P748" s="10"/>
      <c r="Q748" s="11"/>
      <c r="R748" s="10"/>
      <c r="S748" s="10"/>
    </row>
    <row r="749" customFormat="false" ht="15" hidden="false" customHeight="true" outlineLevel="0" collapsed="false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10"/>
      <c r="M749" s="10"/>
      <c r="N749" s="10"/>
      <c r="O749" s="11"/>
      <c r="P749" s="10"/>
      <c r="Q749" s="11"/>
      <c r="R749" s="10"/>
      <c r="S749" s="10"/>
    </row>
    <row r="750" customFormat="false" ht="15" hidden="false" customHeight="true" outlineLevel="0" collapsed="false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10"/>
      <c r="M750" s="10"/>
      <c r="N750" s="10"/>
      <c r="O750" s="11"/>
      <c r="P750" s="10"/>
      <c r="Q750" s="11"/>
      <c r="R750" s="10"/>
      <c r="S750" s="10"/>
    </row>
    <row r="751" customFormat="false" ht="15" hidden="false" customHeight="true" outlineLevel="0" collapsed="false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10"/>
      <c r="M751" s="10"/>
      <c r="N751" s="10"/>
      <c r="O751" s="11"/>
      <c r="P751" s="10"/>
      <c r="Q751" s="11"/>
      <c r="R751" s="10"/>
      <c r="S751" s="10"/>
    </row>
    <row r="752" customFormat="false" ht="15" hidden="false" customHeight="true" outlineLevel="0" collapsed="false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10"/>
      <c r="M752" s="10"/>
      <c r="N752" s="10"/>
      <c r="O752" s="11"/>
      <c r="P752" s="10"/>
      <c r="Q752" s="11"/>
      <c r="R752" s="10"/>
      <c r="S752" s="10"/>
    </row>
    <row r="753" customFormat="false" ht="15" hidden="false" customHeight="true" outlineLevel="0" collapsed="false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10"/>
      <c r="M753" s="10"/>
      <c r="N753" s="10"/>
      <c r="O753" s="11"/>
      <c r="P753" s="10"/>
      <c r="Q753" s="11"/>
      <c r="R753" s="10"/>
      <c r="S753" s="10"/>
    </row>
    <row r="754" customFormat="false" ht="15" hidden="false" customHeight="true" outlineLevel="0" collapsed="false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10"/>
      <c r="M754" s="10"/>
      <c r="N754" s="10"/>
      <c r="O754" s="11"/>
      <c r="P754" s="10"/>
      <c r="Q754" s="11"/>
      <c r="R754" s="10"/>
      <c r="S754" s="10"/>
    </row>
    <row r="755" customFormat="false" ht="15" hidden="false" customHeight="true" outlineLevel="0" collapsed="false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10"/>
      <c r="M755" s="10"/>
      <c r="N755" s="10"/>
      <c r="O755" s="11"/>
      <c r="P755" s="10"/>
      <c r="Q755" s="11"/>
      <c r="R755" s="10"/>
      <c r="S755" s="10"/>
    </row>
    <row r="756" customFormat="false" ht="15" hidden="false" customHeight="true" outlineLevel="0" collapsed="false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10"/>
      <c r="M756" s="10"/>
      <c r="N756" s="10"/>
      <c r="O756" s="11"/>
      <c r="P756" s="10"/>
      <c r="Q756" s="11"/>
      <c r="R756" s="10"/>
      <c r="S756" s="10"/>
    </row>
    <row r="757" customFormat="false" ht="15" hidden="false" customHeight="true" outlineLevel="0" collapsed="false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10"/>
      <c r="M757" s="10"/>
      <c r="N757" s="10"/>
      <c r="O757" s="11"/>
      <c r="P757" s="10"/>
      <c r="Q757" s="11"/>
      <c r="R757" s="10"/>
      <c r="S757" s="10"/>
    </row>
    <row r="758" customFormat="false" ht="15" hidden="false" customHeight="true" outlineLevel="0" collapsed="false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10"/>
      <c r="M758" s="10"/>
      <c r="N758" s="10"/>
      <c r="O758" s="11"/>
      <c r="P758" s="10"/>
      <c r="Q758" s="11"/>
      <c r="R758" s="10"/>
      <c r="S758" s="10"/>
    </row>
    <row r="759" customFormat="false" ht="15" hidden="false" customHeight="true" outlineLevel="0" collapsed="false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10"/>
      <c r="M759" s="10"/>
      <c r="N759" s="10"/>
      <c r="O759" s="11"/>
      <c r="P759" s="10"/>
      <c r="Q759" s="11"/>
      <c r="R759" s="10"/>
      <c r="S759" s="10"/>
    </row>
    <row r="760" customFormat="false" ht="15" hidden="false" customHeight="true" outlineLevel="0" collapsed="false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10"/>
      <c r="M760" s="10"/>
      <c r="N760" s="10"/>
      <c r="O760" s="11"/>
      <c r="P760" s="10"/>
      <c r="Q760" s="11"/>
      <c r="R760" s="10"/>
      <c r="S760" s="10"/>
    </row>
    <row r="761" customFormat="false" ht="15" hidden="false" customHeight="true" outlineLevel="0" collapsed="false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10"/>
      <c r="M761" s="10"/>
      <c r="N761" s="10"/>
      <c r="O761" s="11"/>
      <c r="P761" s="10"/>
      <c r="Q761" s="11"/>
      <c r="R761" s="10"/>
      <c r="S761" s="10"/>
    </row>
    <row r="762" customFormat="false" ht="15" hidden="false" customHeight="true" outlineLevel="0" collapsed="false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10"/>
      <c r="M762" s="10"/>
      <c r="N762" s="10"/>
      <c r="O762" s="11"/>
      <c r="P762" s="10"/>
      <c r="Q762" s="11"/>
      <c r="R762" s="10"/>
      <c r="S762" s="10"/>
    </row>
    <row r="763" customFormat="false" ht="15" hidden="false" customHeight="true" outlineLevel="0" collapsed="false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10"/>
      <c r="M763" s="10"/>
      <c r="N763" s="10"/>
      <c r="O763" s="11"/>
      <c r="P763" s="10"/>
      <c r="Q763" s="11"/>
      <c r="R763" s="10"/>
      <c r="S763" s="10"/>
    </row>
    <row r="764" customFormat="false" ht="15" hidden="false" customHeight="true" outlineLevel="0" collapsed="false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10"/>
      <c r="M764" s="10"/>
      <c r="N764" s="10"/>
      <c r="O764" s="11"/>
      <c r="P764" s="10"/>
      <c r="Q764" s="11"/>
      <c r="R764" s="10"/>
      <c r="S764" s="10"/>
    </row>
    <row r="765" customFormat="false" ht="15" hidden="false" customHeight="true" outlineLevel="0" collapsed="false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10"/>
      <c r="M765" s="10"/>
      <c r="N765" s="10"/>
      <c r="O765" s="11"/>
      <c r="P765" s="10"/>
      <c r="Q765" s="11"/>
      <c r="R765" s="10"/>
      <c r="S765" s="10"/>
    </row>
    <row r="766" customFormat="false" ht="15" hidden="false" customHeight="true" outlineLevel="0" collapsed="false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10"/>
      <c r="M766" s="10"/>
      <c r="N766" s="10"/>
      <c r="O766" s="11"/>
      <c r="P766" s="10"/>
      <c r="Q766" s="11"/>
      <c r="R766" s="10"/>
      <c r="S766" s="10"/>
    </row>
    <row r="767" customFormat="false" ht="15" hidden="false" customHeight="true" outlineLevel="0" collapsed="false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10"/>
      <c r="M767" s="10"/>
      <c r="N767" s="10"/>
      <c r="O767" s="11"/>
      <c r="P767" s="10"/>
      <c r="Q767" s="11"/>
      <c r="R767" s="10"/>
      <c r="S767" s="10"/>
    </row>
    <row r="768" customFormat="false" ht="15" hidden="false" customHeight="true" outlineLevel="0" collapsed="false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10"/>
      <c r="M768" s="10"/>
      <c r="N768" s="10"/>
      <c r="O768" s="11"/>
      <c r="P768" s="10"/>
      <c r="Q768" s="11"/>
      <c r="R768" s="10"/>
      <c r="S768" s="10"/>
    </row>
    <row r="769" customFormat="false" ht="15" hidden="false" customHeight="true" outlineLevel="0" collapsed="false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10"/>
      <c r="M769" s="10"/>
      <c r="N769" s="10"/>
      <c r="O769" s="11"/>
      <c r="P769" s="10"/>
      <c r="Q769" s="11"/>
      <c r="R769" s="10"/>
      <c r="S769" s="10"/>
    </row>
    <row r="770" customFormat="false" ht="15" hidden="false" customHeight="true" outlineLevel="0" collapsed="false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10"/>
      <c r="M770" s="10"/>
      <c r="N770" s="10"/>
      <c r="O770" s="11"/>
      <c r="P770" s="10"/>
      <c r="Q770" s="11"/>
      <c r="R770" s="10"/>
      <c r="S770" s="10"/>
    </row>
    <row r="771" customFormat="false" ht="15" hidden="false" customHeight="true" outlineLevel="0" collapsed="false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10"/>
      <c r="M771" s="10"/>
      <c r="N771" s="10"/>
      <c r="O771" s="11"/>
      <c r="P771" s="10"/>
      <c r="Q771" s="11"/>
      <c r="R771" s="10"/>
      <c r="S771" s="10"/>
    </row>
    <row r="772" customFormat="false" ht="15" hidden="false" customHeight="true" outlineLevel="0" collapsed="false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10"/>
      <c r="M772" s="10"/>
      <c r="N772" s="10"/>
      <c r="O772" s="11"/>
      <c r="P772" s="10"/>
      <c r="Q772" s="11"/>
      <c r="R772" s="10"/>
      <c r="S772" s="10"/>
    </row>
    <row r="773" customFormat="false" ht="15" hidden="false" customHeight="true" outlineLevel="0" collapsed="false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10"/>
      <c r="M773" s="10"/>
      <c r="N773" s="10"/>
      <c r="O773" s="11"/>
      <c r="P773" s="10"/>
      <c r="Q773" s="11"/>
      <c r="R773" s="10"/>
      <c r="S773" s="10"/>
    </row>
    <row r="774" customFormat="false" ht="15" hidden="false" customHeight="true" outlineLevel="0" collapsed="false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10"/>
      <c r="M774" s="10"/>
      <c r="N774" s="10"/>
      <c r="O774" s="11"/>
      <c r="P774" s="10"/>
      <c r="Q774" s="11"/>
      <c r="R774" s="10"/>
      <c r="S774" s="10"/>
    </row>
    <row r="775" customFormat="false" ht="15" hidden="false" customHeight="true" outlineLevel="0" collapsed="false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10"/>
      <c r="M775" s="10"/>
      <c r="N775" s="10"/>
      <c r="O775" s="11"/>
      <c r="P775" s="10"/>
      <c r="Q775" s="11"/>
      <c r="R775" s="10"/>
      <c r="S775" s="10"/>
    </row>
    <row r="776" customFormat="false" ht="15" hidden="false" customHeight="true" outlineLevel="0" collapsed="false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10"/>
      <c r="M776" s="10"/>
      <c r="N776" s="10"/>
      <c r="O776" s="11"/>
      <c r="P776" s="10"/>
      <c r="Q776" s="11"/>
      <c r="R776" s="10"/>
      <c r="S776" s="10"/>
    </row>
    <row r="777" customFormat="false" ht="15" hidden="false" customHeight="true" outlineLevel="0" collapsed="false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10"/>
      <c r="M777" s="10"/>
      <c r="N777" s="10"/>
      <c r="O777" s="11"/>
      <c r="P777" s="10"/>
      <c r="Q777" s="11"/>
      <c r="R777" s="10"/>
      <c r="S777" s="10"/>
    </row>
    <row r="778" customFormat="false" ht="15" hidden="false" customHeight="true" outlineLevel="0" collapsed="false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10"/>
      <c r="M778" s="10"/>
      <c r="N778" s="10"/>
      <c r="O778" s="11"/>
      <c r="P778" s="10"/>
      <c r="Q778" s="11"/>
      <c r="R778" s="10"/>
      <c r="S778" s="10"/>
    </row>
    <row r="779" customFormat="false" ht="15" hidden="false" customHeight="true" outlineLevel="0" collapsed="false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10"/>
      <c r="M779" s="10"/>
      <c r="N779" s="10"/>
      <c r="O779" s="11"/>
      <c r="P779" s="10"/>
      <c r="Q779" s="11"/>
      <c r="R779" s="10"/>
      <c r="S779" s="10"/>
    </row>
    <row r="780" customFormat="false" ht="15" hidden="false" customHeight="true" outlineLevel="0" collapsed="false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10"/>
      <c r="M780" s="10"/>
      <c r="N780" s="10"/>
      <c r="O780" s="11"/>
      <c r="P780" s="10"/>
      <c r="Q780" s="11"/>
      <c r="R780" s="10"/>
      <c r="S780" s="10"/>
    </row>
    <row r="781" customFormat="false" ht="15" hidden="false" customHeight="true" outlineLevel="0" collapsed="false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10"/>
      <c r="M781" s="10"/>
      <c r="N781" s="10"/>
      <c r="O781" s="11"/>
      <c r="P781" s="10"/>
      <c r="Q781" s="11"/>
      <c r="R781" s="10"/>
      <c r="S781" s="10"/>
    </row>
    <row r="782" customFormat="false" ht="15" hidden="false" customHeight="true" outlineLevel="0" collapsed="false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10"/>
      <c r="M782" s="10"/>
      <c r="N782" s="10"/>
      <c r="O782" s="11"/>
      <c r="P782" s="10"/>
      <c r="Q782" s="11"/>
      <c r="R782" s="10"/>
      <c r="S782" s="10"/>
    </row>
    <row r="783" customFormat="false" ht="15" hidden="false" customHeight="true" outlineLevel="0" collapsed="false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10"/>
      <c r="M783" s="10"/>
      <c r="N783" s="10"/>
      <c r="O783" s="11"/>
      <c r="P783" s="10"/>
      <c r="Q783" s="11"/>
      <c r="R783" s="10"/>
      <c r="S783" s="10"/>
    </row>
    <row r="784" customFormat="false" ht="15" hidden="false" customHeight="true" outlineLevel="0" collapsed="false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10"/>
      <c r="M784" s="10"/>
      <c r="N784" s="10"/>
      <c r="O784" s="11"/>
      <c r="P784" s="10"/>
      <c r="Q784" s="11"/>
      <c r="R784" s="10"/>
      <c r="S784" s="10"/>
    </row>
    <row r="785" customFormat="false" ht="15" hidden="false" customHeight="true" outlineLevel="0" collapsed="false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10"/>
      <c r="M785" s="10"/>
      <c r="N785" s="10"/>
      <c r="O785" s="11"/>
      <c r="P785" s="10"/>
      <c r="Q785" s="11"/>
      <c r="R785" s="10"/>
      <c r="S785" s="10"/>
    </row>
    <row r="786" customFormat="false" ht="15" hidden="false" customHeight="true" outlineLevel="0" collapsed="false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10"/>
      <c r="M786" s="10"/>
      <c r="N786" s="10"/>
      <c r="O786" s="11"/>
      <c r="P786" s="10"/>
      <c r="Q786" s="11"/>
      <c r="R786" s="10"/>
      <c r="S786" s="10"/>
    </row>
    <row r="787" customFormat="false" ht="15" hidden="false" customHeight="true" outlineLevel="0" collapsed="false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10"/>
      <c r="M787" s="10"/>
      <c r="N787" s="10"/>
      <c r="O787" s="11"/>
      <c r="P787" s="10"/>
      <c r="Q787" s="11"/>
      <c r="R787" s="10"/>
      <c r="S787" s="10"/>
    </row>
    <row r="788" customFormat="false" ht="15" hidden="false" customHeight="true" outlineLevel="0" collapsed="false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10"/>
      <c r="M788" s="10"/>
      <c r="N788" s="10"/>
      <c r="O788" s="11"/>
      <c r="P788" s="10"/>
      <c r="Q788" s="11"/>
      <c r="R788" s="10"/>
      <c r="S788" s="10"/>
    </row>
    <row r="789" customFormat="false" ht="15" hidden="false" customHeight="true" outlineLevel="0" collapsed="false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10"/>
      <c r="M789" s="10"/>
      <c r="N789" s="10"/>
      <c r="O789" s="11"/>
      <c r="P789" s="10"/>
      <c r="Q789" s="11"/>
      <c r="R789" s="10"/>
      <c r="S789" s="10"/>
    </row>
    <row r="790" customFormat="false" ht="15" hidden="false" customHeight="true" outlineLevel="0" collapsed="false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10"/>
      <c r="M790" s="10"/>
      <c r="N790" s="10"/>
      <c r="O790" s="11"/>
      <c r="P790" s="10"/>
      <c r="Q790" s="11"/>
      <c r="R790" s="10"/>
      <c r="S790" s="10"/>
    </row>
    <row r="791" customFormat="false" ht="15" hidden="false" customHeight="true" outlineLevel="0" collapsed="false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10"/>
      <c r="M791" s="10"/>
      <c r="N791" s="10"/>
      <c r="O791" s="11"/>
      <c r="P791" s="10"/>
      <c r="Q791" s="11"/>
      <c r="R791" s="10"/>
      <c r="S791" s="10"/>
    </row>
    <row r="792" customFormat="false" ht="15" hidden="false" customHeight="true" outlineLevel="0" collapsed="false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10"/>
      <c r="M792" s="10"/>
      <c r="N792" s="10"/>
      <c r="O792" s="11"/>
      <c r="P792" s="10"/>
      <c r="Q792" s="11"/>
      <c r="R792" s="10"/>
      <c r="S792" s="10"/>
    </row>
    <row r="793" customFormat="false" ht="15" hidden="false" customHeight="true" outlineLevel="0" collapsed="false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10"/>
      <c r="M793" s="10"/>
      <c r="N793" s="10"/>
      <c r="O793" s="11"/>
      <c r="P793" s="10"/>
      <c r="Q793" s="11"/>
      <c r="R793" s="10"/>
      <c r="S793" s="10"/>
    </row>
    <row r="794" customFormat="false" ht="15" hidden="false" customHeight="true" outlineLevel="0" collapsed="false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10"/>
      <c r="M794" s="10"/>
      <c r="N794" s="10"/>
      <c r="O794" s="11"/>
      <c r="P794" s="10"/>
      <c r="Q794" s="11"/>
      <c r="R794" s="10"/>
      <c r="S794" s="10"/>
    </row>
    <row r="795" customFormat="false" ht="15" hidden="false" customHeight="true" outlineLevel="0" collapsed="false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10"/>
      <c r="M795" s="10"/>
      <c r="N795" s="10"/>
      <c r="O795" s="11"/>
      <c r="P795" s="10"/>
      <c r="Q795" s="11"/>
      <c r="R795" s="10"/>
      <c r="S795" s="10"/>
    </row>
    <row r="796" customFormat="false" ht="15" hidden="false" customHeight="true" outlineLevel="0" collapsed="false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10"/>
      <c r="M796" s="10"/>
      <c r="N796" s="10"/>
      <c r="O796" s="11"/>
      <c r="P796" s="10"/>
      <c r="Q796" s="11"/>
      <c r="R796" s="10"/>
      <c r="S796" s="10"/>
    </row>
    <row r="797" customFormat="false" ht="15" hidden="false" customHeight="true" outlineLevel="0" collapsed="false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10"/>
      <c r="M797" s="10"/>
      <c r="N797" s="10"/>
      <c r="O797" s="11"/>
      <c r="P797" s="10"/>
      <c r="Q797" s="11"/>
      <c r="R797" s="10"/>
      <c r="S797" s="10"/>
    </row>
    <row r="798" customFormat="false" ht="15" hidden="false" customHeight="true" outlineLevel="0" collapsed="false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10"/>
      <c r="M798" s="10"/>
      <c r="N798" s="10"/>
      <c r="O798" s="11"/>
      <c r="P798" s="10"/>
      <c r="Q798" s="11"/>
      <c r="R798" s="10"/>
      <c r="S798" s="10"/>
    </row>
    <row r="799" customFormat="false" ht="15" hidden="false" customHeight="true" outlineLevel="0" collapsed="false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10"/>
      <c r="M799" s="10"/>
      <c r="N799" s="10"/>
      <c r="O799" s="11"/>
      <c r="P799" s="10"/>
      <c r="Q799" s="11"/>
      <c r="R799" s="10"/>
      <c r="S799" s="10"/>
    </row>
    <row r="800" customFormat="false" ht="15" hidden="false" customHeight="true" outlineLevel="0" collapsed="false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10"/>
      <c r="M800" s="10"/>
      <c r="N800" s="10"/>
      <c r="O800" s="11"/>
      <c r="P800" s="10"/>
      <c r="Q800" s="11"/>
      <c r="R800" s="10"/>
      <c r="S800" s="10"/>
    </row>
    <row r="801" customFormat="false" ht="15" hidden="false" customHeight="true" outlineLevel="0" collapsed="false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10"/>
      <c r="M801" s="10"/>
      <c r="N801" s="10"/>
      <c r="O801" s="11"/>
      <c r="P801" s="10"/>
      <c r="Q801" s="11"/>
      <c r="R801" s="10"/>
      <c r="S801" s="10"/>
    </row>
    <row r="802" customFormat="false" ht="15" hidden="false" customHeight="true" outlineLevel="0" collapsed="false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10"/>
      <c r="M802" s="10"/>
      <c r="N802" s="10"/>
      <c r="O802" s="11"/>
      <c r="P802" s="10"/>
      <c r="Q802" s="11"/>
      <c r="R802" s="10"/>
      <c r="S802" s="10"/>
    </row>
    <row r="803" customFormat="false" ht="15" hidden="false" customHeight="true" outlineLevel="0" collapsed="false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10"/>
      <c r="M803" s="10"/>
      <c r="N803" s="10"/>
      <c r="O803" s="11"/>
      <c r="P803" s="10"/>
      <c r="Q803" s="11"/>
      <c r="R803" s="10"/>
      <c r="S803" s="10"/>
    </row>
    <row r="804" customFormat="false" ht="15" hidden="false" customHeight="true" outlineLevel="0" collapsed="false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10"/>
      <c r="M804" s="10"/>
      <c r="N804" s="10"/>
      <c r="O804" s="11"/>
      <c r="P804" s="10"/>
      <c r="Q804" s="11"/>
      <c r="R804" s="10"/>
      <c r="S804" s="10"/>
    </row>
    <row r="805" customFormat="false" ht="15" hidden="false" customHeight="true" outlineLevel="0" collapsed="false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10"/>
      <c r="M805" s="10"/>
      <c r="N805" s="10"/>
      <c r="O805" s="11"/>
      <c r="P805" s="10"/>
      <c r="Q805" s="11"/>
      <c r="R805" s="10"/>
      <c r="S805" s="10"/>
    </row>
    <row r="806" customFormat="false" ht="15" hidden="false" customHeight="true" outlineLevel="0" collapsed="false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10"/>
      <c r="M806" s="10"/>
      <c r="N806" s="10"/>
      <c r="O806" s="11"/>
      <c r="P806" s="10"/>
      <c r="Q806" s="11"/>
      <c r="R806" s="10"/>
      <c r="S806" s="10"/>
    </row>
    <row r="807" customFormat="false" ht="15" hidden="false" customHeight="true" outlineLevel="0" collapsed="false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10"/>
      <c r="M807" s="10"/>
      <c r="N807" s="10"/>
      <c r="O807" s="11"/>
      <c r="P807" s="10"/>
      <c r="Q807" s="11"/>
      <c r="R807" s="10"/>
      <c r="S807" s="10"/>
    </row>
    <row r="808" customFormat="false" ht="15" hidden="false" customHeight="true" outlineLevel="0" collapsed="false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10"/>
      <c r="M808" s="10"/>
      <c r="N808" s="10"/>
      <c r="O808" s="11"/>
      <c r="P808" s="10"/>
      <c r="Q808" s="11"/>
      <c r="R808" s="10"/>
      <c r="S808" s="10"/>
    </row>
    <row r="809" customFormat="false" ht="15" hidden="false" customHeight="true" outlineLevel="0" collapsed="false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10"/>
      <c r="M809" s="10"/>
      <c r="N809" s="10"/>
      <c r="O809" s="11"/>
      <c r="P809" s="10"/>
      <c r="Q809" s="11"/>
      <c r="R809" s="10"/>
      <c r="S809" s="10"/>
    </row>
    <row r="810" customFormat="false" ht="15" hidden="false" customHeight="true" outlineLevel="0" collapsed="false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10"/>
      <c r="M810" s="10"/>
      <c r="N810" s="10"/>
      <c r="O810" s="11"/>
      <c r="P810" s="10"/>
      <c r="Q810" s="11"/>
      <c r="R810" s="10"/>
      <c r="S810" s="10"/>
    </row>
    <row r="811" customFormat="false" ht="15" hidden="false" customHeight="true" outlineLevel="0" collapsed="false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10"/>
      <c r="M811" s="10"/>
      <c r="N811" s="10"/>
      <c r="O811" s="11"/>
      <c r="P811" s="10"/>
      <c r="Q811" s="11"/>
      <c r="R811" s="10"/>
      <c r="S811" s="10"/>
    </row>
    <row r="812" customFormat="false" ht="15" hidden="false" customHeight="true" outlineLevel="0" collapsed="false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10"/>
      <c r="M812" s="10"/>
      <c r="N812" s="10"/>
      <c r="O812" s="11"/>
      <c r="P812" s="10"/>
      <c r="Q812" s="11"/>
      <c r="R812" s="10"/>
      <c r="S812" s="10"/>
    </row>
    <row r="813" customFormat="false" ht="15" hidden="false" customHeight="true" outlineLevel="0" collapsed="false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10"/>
      <c r="M813" s="10"/>
      <c r="N813" s="10"/>
      <c r="O813" s="11"/>
      <c r="P813" s="10"/>
      <c r="Q813" s="11"/>
      <c r="R813" s="10"/>
      <c r="S813" s="10"/>
    </row>
    <row r="814" customFormat="false" ht="15" hidden="false" customHeight="true" outlineLevel="0" collapsed="false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10"/>
      <c r="M814" s="10"/>
      <c r="N814" s="10"/>
      <c r="O814" s="11"/>
      <c r="P814" s="10"/>
      <c r="Q814" s="11"/>
      <c r="R814" s="10"/>
      <c r="S814" s="10"/>
    </row>
    <row r="815" customFormat="false" ht="15" hidden="false" customHeight="true" outlineLevel="0" collapsed="false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10"/>
      <c r="M815" s="10"/>
      <c r="N815" s="10"/>
      <c r="O815" s="11"/>
      <c r="P815" s="10"/>
      <c r="Q815" s="11"/>
      <c r="R815" s="10"/>
      <c r="S815" s="10"/>
    </row>
    <row r="816" customFormat="false" ht="15" hidden="false" customHeight="true" outlineLevel="0" collapsed="false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10"/>
      <c r="M816" s="10"/>
      <c r="N816" s="10"/>
      <c r="O816" s="11"/>
      <c r="P816" s="10"/>
      <c r="Q816" s="11"/>
      <c r="R816" s="10"/>
      <c r="S816" s="10"/>
    </row>
    <row r="817" customFormat="false" ht="15" hidden="false" customHeight="true" outlineLevel="0" collapsed="false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10"/>
      <c r="M817" s="10"/>
      <c r="N817" s="10"/>
      <c r="O817" s="11"/>
      <c r="P817" s="10"/>
      <c r="Q817" s="11"/>
      <c r="R817" s="10"/>
      <c r="S817" s="10"/>
    </row>
    <row r="818" customFormat="false" ht="15" hidden="false" customHeight="true" outlineLevel="0" collapsed="false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10"/>
      <c r="M818" s="10"/>
      <c r="N818" s="10"/>
      <c r="O818" s="11"/>
      <c r="P818" s="10"/>
      <c r="Q818" s="11"/>
      <c r="R818" s="10"/>
      <c r="S818" s="10"/>
    </row>
    <row r="819" customFormat="false" ht="15" hidden="false" customHeight="true" outlineLevel="0" collapsed="false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10"/>
      <c r="M819" s="10"/>
      <c r="N819" s="10"/>
      <c r="O819" s="11"/>
      <c r="P819" s="10"/>
      <c r="Q819" s="11"/>
      <c r="R819" s="10"/>
      <c r="S819" s="10"/>
    </row>
    <row r="820" customFormat="false" ht="15" hidden="false" customHeight="true" outlineLevel="0" collapsed="false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10"/>
      <c r="M820" s="10"/>
      <c r="N820" s="10"/>
      <c r="O820" s="11"/>
      <c r="P820" s="10"/>
      <c r="Q820" s="11"/>
      <c r="R820" s="10"/>
      <c r="S820" s="10"/>
    </row>
    <row r="821" customFormat="false" ht="15" hidden="false" customHeight="true" outlineLevel="0" collapsed="false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10"/>
      <c r="M821" s="10"/>
      <c r="N821" s="10"/>
      <c r="O821" s="11"/>
      <c r="P821" s="10"/>
      <c r="Q821" s="11"/>
      <c r="R821" s="10"/>
      <c r="S821" s="10"/>
    </row>
    <row r="822" customFormat="false" ht="15" hidden="false" customHeight="true" outlineLevel="0" collapsed="false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10"/>
      <c r="M822" s="10"/>
      <c r="N822" s="10"/>
      <c r="O822" s="11"/>
      <c r="P822" s="10"/>
      <c r="Q822" s="11"/>
      <c r="R822" s="10"/>
      <c r="S822" s="10"/>
    </row>
    <row r="823" customFormat="false" ht="15" hidden="false" customHeight="true" outlineLevel="0" collapsed="false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10"/>
      <c r="M823" s="10"/>
      <c r="N823" s="10"/>
      <c r="O823" s="11"/>
      <c r="P823" s="10"/>
      <c r="Q823" s="11"/>
      <c r="R823" s="10"/>
      <c r="S823" s="10"/>
    </row>
    <row r="824" customFormat="false" ht="15" hidden="false" customHeight="true" outlineLevel="0" collapsed="false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10"/>
      <c r="M824" s="10"/>
      <c r="N824" s="10"/>
      <c r="O824" s="11"/>
      <c r="P824" s="10"/>
      <c r="Q824" s="11"/>
      <c r="R824" s="10"/>
      <c r="S824" s="10"/>
    </row>
    <row r="825" customFormat="false" ht="15" hidden="false" customHeight="true" outlineLevel="0" collapsed="false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10"/>
      <c r="M825" s="10"/>
      <c r="N825" s="10"/>
      <c r="O825" s="11"/>
      <c r="P825" s="10"/>
      <c r="Q825" s="11"/>
      <c r="R825" s="10"/>
      <c r="S825" s="10"/>
    </row>
    <row r="826" customFormat="false" ht="15" hidden="false" customHeight="true" outlineLevel="0" collapsed="false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10"/>
      <c r="M826" s="10"/>
      <c r="N826" s="10"/>
      <c r="O826" s="11"/>
      <c r="P826" s="10"/>
      <c r="Q826" s="11"/>
      <c r="R826" s="10"/>
      <c r="S826" s="10"/>
    </row>
    <row r="827" customFormat="false" ht="15" hidden="false" customHeight="true" outlineLevel="0" collapsed="false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10"/>
      <c r="M827" s="10"/>
      <c r="N827" s="10"/>
      <c r="O827" s="11"/>
      <c r="P827" s="10"/>
      <c r="Q827" s="11"/>
      <c r="R827" s="10"/>
      <c r="S827" s="10"/>
    </row>
    <row r="828" customFormat="false" ht="15" hidden="false" customHeight="true" outlineLevel="0" collapsed="false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10"/>
      <c r="M828" s="10"/>
      <c r="N828" s="10"/>
      <c r="O828" s="11"/>
      <c r="P828" s="10"/>
      <c r="Q828" s="11"/>
      <c r="R828" s="10"/>
      <c r="S828" s="10"/>
    </row>
    <row r="829" customFormat="false" ht="15" hidden="false" customHeight="true" outlineLevel="0" collapsed="false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10"/>
      <c r="M829" s="10"/>
      <c r="N829" s="10"/>
      <c r="O829" s="11"/>
      <c r="P829" s="10"/>
      <c r="Q829" s="11"/>
      <c r="R829" s="10"/>
      <c r="S829" s="10"/>
    </row>
    <row r="830" customFormat="false" ht="15" hidden="false" customHeight="true" outlineLevel="0" collapsed="false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10"/>
      <c r="M830" s="10"/>
      <c r="N830" s="10"/>
      <c r="O830" s="11"/>
      <c r="P830" s="10"/>
      <c r="Q830" s="11"/>
      <c r="R830" s="10"/>
      <c r="S830" s="10"/>
    </row>
    <row r="831" customFormat="false" ht="15" hidden="false" customHeight="true" outlineLevel="0" collapsed="false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10"/>
      <c r="M831" s="10"/>
      <c r="N831" s="10"/>
      <c r="O831" s="11"/>
      <c r="P831" s="10"/>
      <c r="Q831" s="11"/>
      <c r="R831" s="10"/>
      <c r="S831" s="10"/>
    </row>
    <row r="832" customFormat="false" ht="15" hidden="false" customHeight="true" outlineLevel="0" collapsed="false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10"/>
      <c r="M832" s="10"/>
      <c r="N832" s="10"/>
      <c r="O832" s="11"/>
      <c r="P832" s="10"/>
      <c r="Q832" s="11"/>
      <c r="R832" s="10"/>
      <c r="S832" s="10"/>
    </row>
    <row r="833" customFormat="false" ht="15" hidden="false" customHeight="true" outlineLevel="0" collapsed="false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10"/>
      <c r="M833" s="10"/>
      <c r="N833" s="10"/>
      <c r="O833" s="11"/>
      <c r="P833" s="10"/>
      <c r="Q833" s="11"/>
      <c r="R833" s="10"/>
      <c r="S833" s="10"/>
    </row>
    <row r="834" customFormat="false" ht="15" hidden="false" customHeight="true" outlineLevel="0" collapsed="false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10"/>
      <c r="M834" s="10"/>
      <c r="N834" s="10"/>
      <c r="O834" s="11"/>
      <c r="P834" s="10"/>
      <c r="Q834" s="11"/>
      <c r="R834" s="10"/>
      <c r="S834" s="10"/>
    </row>
    <row r="835" customFormat="false" ht="15" hidden="false" customHeight="true" outlineLevel="0" collapsed="false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10"/>
      <c r="M835" s="10"/>
      <c r="N835" s="10"/>
      <c r="O835" s="11"/>
      <c r="P835" s="10"/>
      <c r="Q835" s="11"/>
      <c r="R835" s="10"/>
      <c r="S835" s="10"/>
    </row>
    <row r="836" customFormat="false" ht="15" hidden="false" customHeight="true" outlineLevel="0" collapsed="false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10"/>
      <c r="M836" s="10"/>
      <c r="N836" s="10"/>
      <c r="O836" s="11"/>
      <c r="P836" s="10"/>
      <c r="Q836" s="11"/>
      <c r="R836" s="10"/>
      <c r="S836" s="10"/>
    </row>
    <row r="837" customFormat="false" ht="15" hidden="false" customHeight="true" outlineLevel="0" collapsed="false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10"/>
      <c r="M837" s="10"/>
      <c r="N837" s="10"/>
      <c r="O837" s="11"/>
      <c r="P837" s="10"/>
      <c r="Q837" s="11"/>
      <c r="R837" s="10"/>
      <c r="S837" s="10"/>
    </row>
    <row r="838" customFormat="false" ht="15" hidden="false" customHeight="true" outlineLevel="0" collapsed="false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10"/>
      <c r="M838" s="10"/>
      <c r="N838" s="10"/>
      <c r="O838" s="11"/>
      <c r="P838" s="10"/>
      <c r="Q838" s="11"/>
      <c r="R838" s="10"/>
      <c r="S838" s="10"/>
    </row>
    <row r="839" customFormat="false" ht="15" hidden="false" customHeight="true" outlineLevel="0" collapsed="false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10"/>
      <c r="M839" s="10"/>
      <c r="N839" s="10"/>
      <c r="O839" s="11"/>
      <c r="P839" s="10"/>
      <c r="Q839" s="11"/>
      <c r="R839" s="10"/>
      <c r="S839" s="10"/>
    </row>
    <row r="840" customFormat="false" ht="15" hidden="false" customHeight="true" outlineLevel="0" collapsed="false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10"/>
      <c r="M840" s="10"/>
      <c r="N840" s="10"/>
      <c r="O840" s="11"/>
      <c r="P840" s="10"/>
      <c r="Q840" s="11"/>
      <c r="R840" s="10"/>
      <c r="S840" s="10"/>
    </row>
    <row r="841" customFormat="false" ht="15" hidden="false" customHeight="true" outlineLevel="0" collapsed="false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10"/>
      <c r="M841" s="10"/>
      <c r="N841" s="10"/>
      <c r="O841" s="11"/>
      <c r="P841" s="10"/>
      <c r="Q841" s="11"/>
      <c r="R841" s="10"/>
      <c r="S841" s="10"/>
    </row>
    <row r="842" customFormat="false" ht="15" hidden="false" customHeight="true" outlineLevel="0" collapsed="false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10"/>
      <c r="M842" s="10"/>
      <c r="N842" s="10"/>
      <c r="O842" s="11"/>
      <c r="P842" s="10"/>
      <c r="Q842" s="11"/>
      <c r="R842" s="10"/>
      <c r="S842" s="10"/>
    </row>
    <row r="843" customFormat="false" ht="15" hidden="false" customHeight="true" outlineLevel="0" collapsed="false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10"/>
      <c r="M843" s="10"/>
      <c r="N843" s="10"/>
      <c r="O843" s="11"/>
      <c r="P843" s="10"/>
      <c r="Q843" s="11"/>
      <c r="R843" s="10"/>
      <c r="S843" s="10"/>
    </row>
    <row r="844" customFormat="false" ht="15" hidden="false" customHeight="true" outlineLevel="0" collapsed="false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10"/>
      <c r="M844" s="10"/>
      <c r="N844" s="10"/>
      <c r="O844" s="11"/>
      <c r="P844" s="10"/>
      <c r="Q844" s="11"/>
      <c r="R844" s="10"/>
      <c r="S844" s="10"/>
    </row>
    <row r="845" customFormat="false" ht="15" hidden="false" customHeight="true" outlineLevel="0" collapsed="false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10"/>
      <c r="M845" s="10"/>
      <c r="N845" s="10"/>
      <c r="O845" s="11"/>
      <c r="P845" s="10"/>
      <c r="Q845" s="11"/>
      <c r="R845" s="10"/>
      <c r="S845" s="10"/>
    </row>
    <row r="846" customFormat="false" ht="15" hidden="false" customHeight="true" outlineLevel="0" collapsed="false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10"/>
      <c r="M846" s="10"/>
      <c r="N846" s="10"/>
      <c r="O846" s="11"/>
      <c r="P846" s="10"/>
      <c r="Q846" s="11"/>
      <c r="R846" s="10"/>
      <c r="S846" s="10"/>
    </row>
    <row r="847" customFormat="false" ht="15" hidden="false" customHeight="true" outlineLevel="0" collapsed="false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10"/>
      <c r="M847" s="10"/>
      <c r="N847" s="10"/>
      <c r="O847" s="11"/>
      <c r="P847" s="10"/>
      <c r="Q847" s="11"/>
      <c r="R847" s="10"/>
      <c r="S847" s="10"/>
    </row>
    <row r="848" customFormat="false" ht="15" hidden="false" customHeight="true" outlineLevel="0" collapsed="false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10"/>
      <c r="M848" s="10"/>
      <c r="N848" s="10"/>
      <c r="O848" s="11"/>
      <c r="P848" s="10"/>
      <c r="Q848" s="11"/>
      <c r="R848" s="10"/>
      <c r="S848" s="10"/>
    </row>
    <row r="849" customFormat="false" ht="15" hidden="false" customHeight="true" outlineLevel="0" collapsed="false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10"/>
      <c r="M849" s="10"/>
      <c r="N849" s="10"/>
      <c r="O849" s="11"/>
      <c r="P849" s="10"/>
      <c r="Q849" s="11"/>
      <c r="R849" s="10"/>
      <c r="S849" s="10"/>
    </row>
    <row r="850" customFormat="false" ht="15" hidden="false" customHeight="true" outlineLevel="0" collapsed="false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10"/>
      <c r="M850" s="10"/>
      <c r="N850" s="10"/>
      <c r="O850" s="11"/>
      <c r="P850" s="10"/>
      <c r="Q850" s="11"/>
      <c r="R850" s="10"/>
      <c r="S850" s="10"/>
    </row>
    <row r="851" customFormat="false" ht="15" hidden="false" customHeight="true" outlineLevel="0" collapsed="false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10"/>
      <c r="M851" s="10"/>
      <c r="N851" s="10"/>
      <c r="O851" s="11"/>
      <c r="P851" s="10"/>
      <c r="Q851" s="11"/>
      <c r="R851" s="10"/>
      <c r="S851" s="10"/>
    </row>
    <row r="852" customFormat="false" ht="15" hidden="false" customHeight="true" outlineLevel="0" collapsed="false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10"/>
      <c r="M852" s="10"/>
      <c r="N852" s="10"/>
      <c r="O852" s="11"/>
      <c r="P852" s="10"/>
      <c r="Q852" s="11"/>
      <c r="R852" s="10"/>
      <c r="S852" s="10"/>
    </row>
    <row r="853" customFormat="false" ht="15" hidden="false" customHeight="true" outlineLevel="0" collapsed="false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10"/>
      <c r="M853" s="10"/>
      <c r="N853" s="10"/>
      <c r="O853" s="11"/>
      <c r="P853" s="10"/>
      <c r="Q853" s="11"/>
      <c r="R853" s="10"/>
      <c r="S853" s="10"/>
    </row>
    <row r="854" customFormat="false" ht="15" hidden="false" customHeight="true" outlineLevel="0" collapsed="false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10"/>
      <c r="M854" s="10"/>
      <c r="N854" s="10"/>
      <c r="O854" s="11"/>
      <c r="P854" s="10"/>
      <c r="Q854" s="11"/>
      <c r="R854" s="10"/>
      <c r="S854" s="10"/>
    </row>
    <row r="855" customFormat="false" ht="15" hidden="false" customHeight="true" outlineLevel="0" collapsed="false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10"/>
      <c r="M855" s="10"/>
      <c r="N855" s="10"/>
      <c r="O855" s="11"/>
      <c r="P855" s="10"/>
      <c r="Q855" s="11"/>
      <c r="R855" s="10"/>
      <c r="S855" s="10"/>
    </row>
    <row r="856" customFormat="false" ht="15" hidden="false" customHeight="true" outlineLevel="0" collapsed="false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10"/>
      <c r="M856" s="10"/>
      <c r="N856" s="10"/>
      <c r="O856" s="11"/>
      <c r="P856" s="10"/>
      <c r="Q856" s="11"/>
      <c r="R856" s="10"/>
      <c r="S856" s="10"/>
    </row>
    <row r="857" customFormat="false" ht="15" hidden="false" customHeight="true" outlineLevel="0" collapsed="false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10"/>
      <c r="M857" s="10"/>
      <c r="N857" s="10"/>
      <c r="O857" s="11"/>
      <c r="P857" s="10"/>
      <c r="Q857" s="11"/>
      <c r="R857" s="10"/>
      <c r="S857" s="10"/>
    </row>
    <row r="858" customFormat="false" ht="15" hidden="false" customHeight="true" outlineLevel="0" collapsed="false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10"/>
      <c r="M858" s="10"/>
      <c r="N858" s="10"/>
      <c r="O858" s="11"/>
      <c r="P858" s="10"/>
      <c r="Q858" s="11"/>
      <c r="R858" s="10"/>
      <c r="S858" s="10"/>
    </row>
    <row r="859" customFormat="false" ht="15" hidden="false" customHeight="true" outlineLevel="0" collapsed="false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10"/>
      <c r="M859" s="10"/>
      <c r="N859" s="10"/>
      <c r="O859" s="11"/>
      <c r="P859" s="10"/>
      <c r="Q859" s="11"/>
      <c r="R859" s="10"/>
      <c r="S859" s="10"/>
    </row>
    <row r="860" customFormat="false" ht="15" hidden="false" customHeight="true" outlineLevel="0" collapsed="false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10"/>
      <c r="M860" s="10"/>
      <c r="N860" s="10"/>
      <c r="O860" s="11"/>
      <c r="P860" s="10"/>
      <c r="Q860" s="11"/>
      <c r="R860" s="10"/>
      <c r="S860" s="10"/>
    </row>
    <row r="861" customFormat="false" ht="15" hidden="false" customHeight="true" outlineLevel="0" collapsed="false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10"/>
      <c r="M861" s="10"/>
      <c r="N861" s="10"/>
      <c r="O861" s="11"/>
      <c r="P861" s="10"/>
      <c r="Q861" s="11"/>
      <c r="R861" s="10"/>
      <c r="S861" s="10"/>
    </row>
    <row r="862" customFormat="false" ht="15" hidden="false" customHeight="true" outlineLevel="0" collapsed="false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10"/>
      <c r="M862" s="10"/>
      <c r="N862" s="10"/>
      <c r="O862" s="11"/>
      <c r="P862" s="10"/>
      <c r="Q862" s="11"/>
      <c r="R862" s="10"/>
      <c r="S862" s="10"/>
    </row>
    <row r="863" customFormat="false" ht="15" hidden="false" customHeight="true" outlineLevel="0" collapsed="false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10"/>
      <c r="M863" s="10"/>
      <c r="N863" s="10"/>
      <c r="O863" s="11"/>
      <c r="P863" s="10"/>
      <c r="Q863" s="11"/>
      <c r="R863" s="10"/>
      <c r="S863" s="10"/>
    </row>
    <row r="864" customFormat="false" ht="15" hidden="false" customHeight="true" outlineLevel="0" collapsed="false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10"/>
      <c r="M864" s="10"/>
      <c r="N864" s="10"/>
      <c r="O864" s="11"/>
      <c r="P864" s="10"/>
      <c r="Q864" s="11"/>
      <c r="R864" s="10"/>
      <c r="S864" s="10"/>
    </row>
    <row r="865" customFormat="false" ht="15" hidden="false" customHeight="true" outlineLevel="0" collapsed="false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10"/>
      <c r="M865" s="10"/>
      <c r="N865" s="10"/>
      <c r="O865" s="11"/>
      <c r="P865" s="10"/>
      <c r="Q865" s="11"/>
      <c r="R865" s="10"/>
      <c r="S865" s="10"/>
    </row>
    <row r="866" customFormat="false" ht="15" hidden="false" customHeight="true" outlineLevel="0" collapsed="false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10"/>
      <c r="M866" s="10"/>
      <c r="N866" s="10"/>
      <c r="O866" s="11"/>
      <c r="P866" s="10"/>
      <c r="Q866" s="11"/>
      <c r="R866" s="10"/>
      <c r="S866" s="10"/>
    </row>
    <row r="867" customFormat="false" ht="15" hidden="false" customHeight="true" outlineLevel="0" collapsed="false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10"/>
      <c r="M867" s="10"/>
      <c r="N867" s="10"/>
      <c r="O867" s="11"/>
      <c r="P867" s="10"/>
      <c r="Q867" s="11"/>
      <c r="R867" s="10"/>
      <c r="S867" s="10"/>
    </row>
    <row r="868" customFormat="false" ht="15" hidden="false" customHeight="true" outlineLevel="0" collapsed="false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10"/>
      <c r="M868" s="10"/>
      <c r="N868" s="10"/>
      <c r="O868" s="11"/>
      <c r="P868" s="10"/>
      <c r="Q868" s="11"/>
      <c r="R868" s="10"/>
      <c r="S868" s="10"/>
    </row>
    <row r="869" customFormat="false" ht="15" hidden="false" customHeight="true" outlineLevel="0" collapsed="false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10"/>
      <c r="M869" s="10"/>
      <c r="N869" s="10"/>
      <c r="O869" s="11"/>
      <c r="P869" s="10"/>
      <c r="Q869" s="11"/>
      <c r="R869" s="10"/>
      <c r="S869" s="10"/>
    </row>
    <row r="870" customFormat="false" ht="15" hidden="false" customHeight="true" outlineLevel="0" collapsed="false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10"/>
      <c r="M870" s="10"/>
      <c r="N870" s="10"/>
      <c r="O870" s="11"/>
      <c r="P870" s="10"/>
      <c r="Q870" s="11"/>
      <c r="R870" s="10"/>
      <c r="S870" s="10"/>
    </row>
    <row r="871" customFormat="false" ht="15" hidden="false" customHeight="true" outlineLevel="0" collapsed="false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10"/>
      <c r="M871" s="10"/>
      <c r="N871" s="10"/>
      <c r="O871" s="11"/>
      <c r="P871" s="10"/>
      <c r="Q871" s="11"/>
      <c r="R871" s="10"/>
      <c r="S871" s="10"/>
    </row>
    <row r="872" customFormat="false" ht="15" hidden="false" customHeight="true" outlineLevel="0" collapsed="false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10"/>
      <c r="M872" s="10"/>
      <c r="N872" s="10"/>
      <c r="O872" s="11"/>
      <c r="P872" s="10"/>
      <c r="Q872" s="11"/>
      <c r="R872" s="10"/>
      <c r="S872" s="10"/>
    </row>
    <row r="873" customFormat="false" ht="15" hidden="false" customHeight="true" outlineLevel="0" collapsed="false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10"/>
      <c r="M873" s="10"/>
      <c r="N873" s="10"/>
      <c r="O873" s="11"/>
      <c r="P873" s="10"/>
      <c r="Q873" s="11"/>
      <c r="R873" s="10"/>
      <c r="S873" s="10"/>
    </row>
    <row r="874" customFormat="false" ht="15" hidden="false" customHeight="true" outlineLevel="0" collapsed="false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10"/>
      <c r="M874" s="10"/>
      <c r="N874" s="10"/>
      <c r="O874" s="11"/>
      <c r="P874" s="10"/>
      <c r="Q874" s="11"/>
      <c r="R874" s="10"/>
      <c r="S874" s="10"/>
    </row>
    <row r="875" customFormat="false" ht="15" hidden="false" customHeight="true" outlineLevel="0" collapsed="false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10"/>
      <c r="M875" s="10"/>
      <c r="N875" s="10"/>
      <c r="O875" s="11"/>
      <c r="P875" s="10"/>
      <c r="Q875" s="11"/>
      <c r="R875" s="10"/>
      <c r="S875" s="10"/>
    </row>
    <row r="876" customFormat="false" ht="15" hidden="false" customHeight="true" outlineLevel="0" collapsed="false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10"/>
      <c r="M876" s="10"/>
      <c r="N876" s="10"/>
      <c r="O876" s="11"/>
      <c r="P876" s="10"/>
      <c r="Q876" s="11"/>
      <c r="R876" s="10"/>
      <c r="S876" s="10"/>
    </row>
    <row r="877" customFormat="false" ht="15" hidden="false" customHeight="true" outlineLevel="0" collapsed="false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10"/>
      <c r="M877" s="10"/>
      <c r="N877" s="10"/>
      <c r="O877" s="11"/>
      <c r="P877" s="10"/>
      <c r="Q877" s="11"/>
      <c r="R877" s="10"/>
      <c r="S877" s="10"/>
    </row>
    <row r="878" customFormat="false" ht="15" hidden="false" customHeight="true" outlineLevel="0" collapsed="false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10"/>
      <c r="M878" s="10"/>
      <c r="N878" s="10"/>
      <c r="O878" s="11"/>
      <c r="P878" s="10"/>
      <c r="Q878" s="11"/>
      <c r="R878" s="10"/>
      <c r="S878" s="10"/>
    </row>
    <row r="879" customFormat="false" ht="15" hidden="false" customHeight="true" outlineLevel="0" collapsed="false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10"/>
      <c r="M879" s="10"/>
      <c r="N879" s="10"/>
      <c r="O879" s="11"/>
      <c r="P879" s="10"/>
      <c r="Q879" s="11"/>
      <c r="R879" s="10"/>
      <c r="S879" s="10"/>
    </row>
    <row r="880" customFormat="false" ht="15" hidden="false" customHeight="true" outlineLevel="0" collapsed="false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10"/>
      <c r="M880" s="10"/>
      <c r="N880" s="10"/>
      <c r="O880" s="11"/>
      <c r="P880" s="10"/>
      <c r="Q880" s="11"/>
      <c r="R880" s="10"/>
      <c r="S880" s="10"/>
    </row>
    <row r="881" customFormat="false" ht="15" hidden="false" customHeight="true" outlineLevel="0" collapsed="false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10"/>
      <c r="M881" s="10"/>
      <c r="N881" s="10"/>
      <c r="O881" s="11"/>
      <c r="P881" s="10"/>
      <c r="Q881" s="11"/>
      <c r="R881" s="10"/>
      <c r="S881" s="10"/>
    </row>
    <row r="882" customFormat="false" ht="15" hidden="false" customHeight="true" outlineLevel="0" collapsed="false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10"/>
      <c r="M882" s="10"/>
      <c r="N882" s="10"/>
      <c r="O882" s="11"/>
      <c r="P882" s="10"/>
      <c r="Q882" s="11"/>
      <c r="R882" s="10"/>
      <c r="S882" s="10"/>
    </row>
    <row r="883" customFormat="false" ht="15" hidden="false" customHeight="true" outlineLevel="0" collapsed="false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10"/>
      <c r="M883" s="10"/>
      <c r="N883" s="10"/>
      <c r="O883" s="11"/>
      <c r="P883" s="10"/>
      <c r="Q883" s="11"/>
      <c r="R883" s="10"/>
      <c r="S883" s="10"/>
    </row>
    <row r="884" customFormat="false" ht="15" hidden="false" customHeight="true" outlineLevel="0" collapsed="false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10"/>
      <c r="M884" s="10"/>
      <c r="N884" s="10"/>
      <c r="O884" s="11"/>
      <c r="P884" s="10"/>
      <c r="Q884" s="11"/>
      <c r="R884" s="10"/>
      <c r="S884" s="10"/>
    </row>
    <row r="885" customFormat="false" ht="15" hidden="false" customHeight="true" outlineLevel="0" collapsed="false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10"/>
      <c r="M885" s="10"/>
      <c r="N885" s="10"/>
      <c r="O885" s="11"/>
      <c r="P885" s="10"/>
      <c r="Q885" s="11"/>
      <c r="R885" s="10"/>
      <c r="S885" s="10"/>
    </row>
    <row r="886" customFormat="false" ht="15" hidden="false" customHeight="true" outlineLevel="0" collapsed="false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10"/>
      <c r="M886" s="10"/>
      <c r="N886" s="10"/>
      <c r="O886" s="11"/>
      <c r="P886" s="10"/>
      <c r="Q886" s="11"/>
      <c r="R886" s="10"/>
      <c r="S886" s="10"/>
    </row>
    <row r="887" customFormat="false" ht="15" hidden="false" customHeight="true" outlineLevel="0" collapsed="false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10"/>
      <c r="M887" s="10"/>
      <c r="N887" s="10"/>
      <c r="O887" s="11"/>
      <c r="P887" s="10"/>
      <c r="Q887" s="11"/>
      <c r="R887" s="10"/>
      <c r="S887" s="10"/>
    </row>
    <row r="888" customFormat="false" ht="15" hidden="false" customHeight="true" outlineLevel="0" collapsed="false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10"/>
      <c r="M888" s="10"/>
      <c r="N888" s="10"/>
      <c r="O888" s="11"/>
      <c r="P888" s="10"/>
      <c r="Q888" s="11"/>
      <c r="R888" s="10"/>
      <c r="S888" s="10"/>
    </row>
    <row r="889" customFormat="false" ht="15" hidden="false" customHeight="true" outlineLevel="0" collapsed="false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10"/>
      <c r="M889" s="10"/>
      <c r="N889" s="10"/>
      <c r="O889" s="11"/>
      <c r="P889" s="10"/>
      <c r="Q889" s="11"/>
      <c r="R889" s="10"/>
      <c r="S889" s="10"/>
    </row>
    <row r="890" customFormat="false" ht="15" hidden="false" customHeight="true" outlineLevel="0" collapsed="false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10"/>
      <c r="M890" s="10"/>
      <c r="N890" s="10"/>
      <c r="O890" s="11"/>
      <c r="P890" s="10"/>
      <c r="Q890" s="11"/>
      <c r="R890" s="10"/>
      <c r="S890" s="10"/>
    </row>
    <row r="891" customFormat="false" ht="15" hidden="false" customHeight="true" outlineLevel="0" collapsed="false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10"/>
      <c r="M891" s="10"/>
      <c r="N891" s="10"/>
      <c r="O891" s="11"/>
      <c r="P891" s="10"/>
      <c r="Q891" s="11"/>
      <c r="R891" s="10"/>
      <c r="S891" s="10"/>
    </row>
    <row r="892" customFormat="false" ht="15" hidden="false" customHeight="true" outlineLevel="0" collapsed="false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10"/>
      <c r="M892" s="10"/>
      <c r="N892" s="10"/>
      <c r="O892" s="11"/>
      <c r="P892" s="10"/>
      <c r="Q892" s="11"/>
      <c r="R892" s="10"/>
      <c r="S892" s="10"/>
    </row>
    <row r="893" customFormat="false" ht="15" hidden="false" customHeight="true" outlineLevel="0" collapsed="false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10"/>
      <c r="M893" s="10"/>
      <c r="N893" s="10"/>
      <c r="O893" s="11"/>
      <c r="P893" s="10"/>
      <c r="Q893" s="11"/>
      <c r="R893" s="10"/>
      <c r="S893" s="10"/>
    </row>
    <row r="894" customFormat="false" ht="15" hidden="false" customHeight="true" outlineLevel="0" collapsed="false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10"/>
      <c r="M894" s="10"/>
      <c r="N894" s="10"/>
      <c r="O894" s="11"/>
      <c r="P894" s="10"/>
      <c r="Q894" s="11"/>
      <c r="R894" s="10"/>
      <c r="S894" s="10"/>
    </row>
    <row r="895" customFormat="false" ht="15" hidden="false" customHeight="true" outlineLevel="0" collapsed="false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10"/>
      <c r="M895" s="10"/>
      <c r="N895" s="10"/>
      <c r="O895" s="11"/>
      <c r="P895" s="10"/>
      <c r="Q895" s="11"/>
      <c r="R895" s="10"/>
      <c r="S895" s="10"/>
    </row>
    <row r="896" customFormat="false" ht="15" hidden="false" customHeight="true" outlineLevel="0" collapsed="false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10"/>
      <c r="M896" s="10"/>
      <c r="N896" s="10"/>
      <c r="O896" s="11"/>
      <c r="P896" s="10"/>
      <c r="Q896" s="11"/>
      <c r="R896" s="10"/>
      <c r="S896" s="10"/>
    </row>
    <row r="897" customFormat="false" ht="15" hidden="false" customHeight="true" outlineLevel="0" collapsed="false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10"/>
      <c r="M897" s="10"/>
      <c r="N897" s="10"/>
      <c r="O897" s="11"/>
      <c r="P897" s="10"/>
      <c r="Q897" s="11"/>
      <c r="R897" s="10"/>
      <c r="S897" s="10"/>
    </row>
    <row r="898" customFormat="false" ht="15" hidden="false" customHeight="true" outlineLevel="0" collapsed="false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10"/>
      <c r="M898" s="10"/>
      <c r="N898" s="10"/>
      <c r="O898" s="11"/>
      <c r="P898" s="10"/>
      <c r="Q898" s="11"/>
      <c r="R898" s="10"/>
      <c r="S898" s="10"/>
    </row>
    <row r="899" customFormat="false" ht="15" hidden="false" customHeight="true" outlineLevel="0" collapsed="false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10"/>
      <c r="M899" s="10"/>
      <c r="N899" s="10"/>
      <c r="O899" s="11"/>
      <c r="P899" s="10"/>
      <c r="Q899" s="11"/>
      <c r="R899" s="10"/>
      <c r="S899" s="10"/>
    </row>
    <row r="900" customFormat="false" ht="15" hidden="false" customHeight="true" outlineLevel="0" collapsed="false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10"/>
      <c r="M900" s="10"/>
      <c r="N900" s="10"/>
      <c r="O900" s="11"/>
      <c r="P900" s="10"/>
      <c r="Q900" s="11"/>
      <c r="R900" s="10"/>
      <c r="S900" s="10"/>
    </row>
    <row r="901" customFormat="false" ht="15" hidden="false" customHeight="true" outlineLevel="0" collapsed="false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10"/>
      <c r="M901" s="10"/>
      <c r="N901" s="10"/>
      <c r="O901" s="11"/>
      <c r="P901" s="10"/>
      <c r="Q901" s="11"/>
      <c r="R901" s="10"/>
      <c r="S901" s="10"/>
    </row>
    <row r="902" customFormat="false" ht="15" hidden="false" customHeight="true" outlineLevel="0" collapsed="false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10"/>
      <c r="M902" s="10"/>
      <c r="N902" s="10"/>
      <c r="O902" s="11"/>
      <c r="P902" s="10"/>
      <c r="Q902" s="11"/>
      <c r="R902" s="10"/>
      <c r="S902" s="10"/>
    </row>
    <row r="903" customFormat="false" ht="15" hidden="false" customHeight="true" outlineLevel="0" collapsed="false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10"/>
      <c r="M903" s="10"/>
      <c r="N903" s="10"/>
      <c r="O903" s="11"/>
      <c r="P903" s="10"/>
      <c r="Q903" s="11"/>
      <c r="R903" s="10"/>
      <c r="S903" s="10"/>
    </row>
    <row r="904" customFormat="false" ht="15" hidden="false" customHeight="true" outlineLevel="0" collapsed="false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10"/>
      <c r="M904" s="10"/>
      <c r="N904" s="10"/>
      <c r="O904" s="11"/>
      <c r="P904" s="10"/>
      <c r="Q904" s="11"/>
      <c r="R904" s="10"/>
      <c r="S904" s="10"/>
    </row>
    <row r="905" customFormat="false" ht="15" hidden="false" customHeight="true" outlineLevel="0" collapsed="false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10"/>
      <c r="M905" s="10"/>
      <c r="N905" s="10"/>
      <c r="O905" s="11"/>
      <c r="P905" s="10"/>
      <c r="Q905" s="11"/>
      <c r="R905" s="10"/>
      <c r="S905" s="10"/>
    </row>
    <row r="906" customFormat="false" ht="15" hidden="false" customHeight="true" outlineLevel="0" collapsed="false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10"/>
      <c r="M906" s="10"/>
      <c r="N906" s="10"/>
      <c r="O906" s="11"/>
      <c r="P906" s="10"/>
      <c r="Q906" s="11"/>
      <c r="R906" s="10"/>
      <c r="S906" s="10"/>
    </row>
    <row r="907" customFormat="false" ht="15" hidden="false" customHeight="true" outlineLevel="0" collapsed="false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10"/>
      <c r="M907" s="10"/>
      <c r="N907" s="10"/>
      <c r="O907" s="11"/>
      <c r="P907" s="10"/>
      <c r="Q907" s="11"/>
      <c r="R907" s="10"/>
      <c r="S907" s="10"/>
    </row>
    <row r="908" customFormat="false" ht="15" hidden="false" customHeight="true" outlineLevel="0" collapsed="false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10"/>
      <c r="M908" s="10"/>
      <c r="N908" s="10"/>
      <c r="O908" s="11"/>
      <c r="P908" s="10"/>
      <c r="Q908" s="11"/>
      <c r="R908" s="10"/>
      <c r="S908" s="10"/>
    </row>
    <row r="909" customFormat="false" ht="15" hidden="false" customHeight="true" outlineLevel="0" collapsed="false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10"/>
      <c r="M909" s="10"/>
      <c r="N909" s="10"/>
      <c r="O909" s="11"/>
      <c r="P909" s="10"/>
      <c r="Q909" s="11"/>
      <c r="R909" s="10"/>
      <c r="S909" s="10"/>
    </row>
    <row r="910" customFormat="false" ht="15" hidden="false" customHeight="true" outlineLevel="0" collapsed="false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10"/>
      <c r="M910" s="10"/>
      <c r="N910" s="10"/>
      <c r="O910" s="11"/>
      <c r="P910" s="10"/>
      <c r="Q910" s="11"/>
      <c r="R910" s="10"/>
      <c r="S910" s="10"/>
    </row>
    <row r="911" customFormat="false" ht="15" hidden="false" customHeight="true" outlineLevel="0" collapsed="false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10"/>
      <c r="M911" s="10"/>
      <c r="N911" s="10"/>
      <c r="O911" s="11"/>
      <c r="P911" s="10"/>
      <c r="Q911" s="11"/>
      <c r="R911" s="10"/>
      <c r="S911" s="10"/>
    </row>
    <row r="912" customFormat="false" ht="15" hidden="false" customHeight="true" outlineLevel="0" collapsed="false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10"/>
      <c r="M912" s="10"/>
      <c r="N912" s="10"/>
      <c r="O912" s="11"/>
      <c r="P912" s="10"/>
      <c r="Q912" s="11"/>
      <c r="R912" s="10"/>
      <c r="S912" s="10"/>
    </row>
    <row r="913" customFormat="false" ht="15" hidden="false" customHeight="true" outlineLevel="0" collapsed="false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10"/>
      <c r="M913" s="10"/>
      <c r="N913" s="10"/>
      <c r="O913" s="11"/>
      <c r="P913" s="10"/>
      <c r="Q913" s="11"/>
      <c r="R913" s="10"/>
      <c r="S913" s="10"/>
    </row>
    <row r="914" customFormat="false" ht="15" hidden="false" customHeight="true" outlineLevel="0" collapsed="false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10"/>
      <c r="M914" s="10"/>
      <c r="N914" s="10"/>
      <c r="O914" s="11"/>
      <c r="P914" s="10"/>
      <c r="Q914" s="11"/>
      <c r="R914" s="10"/>
      <c r="S914" s="10"/>
    </row>
    <row r="915" customFormat="false" ht="15" hidden="false" customHeight="true" outlineLevel="0" collapsed="false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10"/>
      <c r="M915" s="10"/>
      <c r="N915" s="10"/>
      <c r="O915" s="11"/>
      <c r="P915" s="10"/>
      <c r="Q915" s="11"/>
      <c r="R915" s="10"/>
      <c r="S915" s="10"/>
    </row>
    <row r="916" customFormat="false" ht="15" hidden="false" customHeight="true" outlineLevel="0" collapsed="false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10"/>
      <c r="M916" s="10"/>
      <c r="N916" s="10"/>
      <c r="O916" s="11"/>
      <c r="P916" s="10"/>
      <c r="Q916" s="11"/>
      <c r="R916" s="10"/>
      <c r="S916" s="10"/>
    </row>
    <row r="917" customFormat="false" ht="15" hidden="false" customHeight="true" outlineLevel="0" collapsed="false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10"/>
      <c r="M917" s="10"/>
      <c r="N917" s="10"/>
      <c r="O917" s="11"/>
      <c r="P917" s="10"/>
      <c r="Q917" s="11"/>
      <c r="R917" s="10"/>
      <c r="S917" s="10"/>
    </row>
    <row r="918" customFormat="false" ht="15" hidden="false" customHeight="true" outlineLevel="0" collapsed="false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10"/>
      <c r="M918" s="10"/>
      <c r="N918" s="10"/>
      <c r="O918" s="11"/>
      <c r="P918" s="10"/>
      <c r="Q918" s="11"/>
      <c r="R918" s="10"/>
      <c r="S918" s="10"/>
    </row>
    <row r="919" customFormat="false" ht="15" hidden="false" customHeight="true" outlineLevel="0" collapsed="false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10"/>
      <c r="M919" s="10"/>
      <c r="N919" s="10"/>
      <c r="O919" s="11"/>
      <c r="P919" s="10"/>
      <c r="Q919" s="11"/>
      <c r="R919" s="10"/>
      <c r="S919" s="10"/>
    </row>
    <row r="920" customFormat="false" ht="15" hidden="false" customHeight="true" outlineLevel="0" collapsed="false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10"/>
      <c r="M920" s="10"/>
      <c r="N920" s="10"/>
      <c r="O920" s="11"/>
      <c r="P920" s="10"/>
      <c r="Q920" s="11"/>
      <c r="R920" s="10"/>
      <c r="S920" s="10"/>
    </row>
    <row r="921" customFormat="false" ht="15" hidden="false" customHeight="true" outlineLevel="0" collapsed="false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10"/>
      <c r="M921" s="10"/>
      <c r="N921" s="10"/>
      <c r="O921" s="11"/>
      <c r="P921" s="10"/>
      <c r="Q921" s="11"/>
      <c r="R921" s="10"/>
      <c r="S921" s="10"/>
    </row>
    <row r="922" customFormat="false" ht="15" hidden="false" customHeight="true" outlineLevel="0" collapsed="false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10"/>
      <c r="M922" s="10"/>
      <c r="N922" s="10"/>
      <c r="O922" s="11"/>
      <c r="P922" s="10"/>
      <c r="Q922" s="11"/>
      <c r="R922" s="10"/>
      <c r="S922" s="10"/>
    </row>
    <row r="923" customFormat="false" ht="15" hidden="false" customHeight="true" outlineLevel="0" collapsed="false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10"/>
      <c r="M923" s="10"/>
      <c r="N923" s="10"/>
      <c r="O923" s="11"/>
      <c r="P923" s="10"/>
      <c r="Q923" s="11"/>
      <c r="R923" s="10"/>
      <c r="S923" s="10"/>
    </row>
    <row r="924" customFormat="false" ht="15" hidden="false" customHeight="true" outlineLevel="0" collapsed="false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10"/>
      <c r="M924" s="10"/>
      <c r="N924" s="10"/>
      <c r="O924" s="11"/>
      <c r="P924" s="10"/>
      <c r="Q924" s="11"/>
      <c r="R924" s="10"/>
      <c r="S924" s="10"/>
    </row>
    <row r="925" customFormat="false" ht="15" hidden="false" customHeight="true" outlineLevel="0" collapsed="false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10"/>
      <c r="M925" s="10"/>
      <c r="N925" s="10"/>
      <c r="O925" s="11"/>
      <c r="P925" s="10"/>
      <c r="Q925" s="11"/>
      <c r="R925" s="10"/>
      <c r="S925" s="10"/>
    </row>
    <row r="926" customFormat="false" ht="15" hidden="false" customHeight="true" outlineLevel="0" collapsed="false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10"/>
      <c r="M926" s="10"/>
      <c r="N926" s="10"/>
      <c r="O926" s="11"/>
      <c r="P926" s="10"/>
      <c r="Q926" s="11"/>
      <c r="R926" s="10"/>
      <c r="S926" s="10"/>
    </row>
    <row r="927" customFormat="false" ht="15" hidden="false" customHeight="true" outlineLevel="0" collapsed="false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10"/>
      <c r="M927" s="10"/>
      <c r="N927" s="10"/>
      <c r="O927" s="11"/>
      <c r="P927" s="10"/>
      <c r="Q927" s="11"/>
      <c r="R927" s="10"/>
      <c r="S927" s="10"/>
    </row>
    <row r="928" customFormat="false" ht="15" hidden="false" customHeight="true" outlineLevel="0" collapsed="false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10"/>
      <c r="M928" s="10"/>
      <c r="N928" s="10"/>
      <c r="O928" s="11"/>
      <c r="P928" s="10"/>
      <c r="Q928" s="11"/>
      <c r="R928" s="10"/>
      <c r="S928" s="10"/>
    </row>
    <row r="929" customFormat="false" ht="15" hidden="false" customHeight="true" outlineLevel="0" collapsed="false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10"/>
      <c r="M929" s="10"/>
      <c r="N929" s="10"/>
      <c r="O929" s="11"/>
      <c r="P929" s="10"/>
      <c r="Q929" s="11"/>
      <c r="R929" s="10"/>
      <c r="S929" s="10"/>
    </row>
    <row r="930" customFormat="false" ht="15" hidden="false" customHeight="true" outlineLevel="0" collapsed="false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10"/>
      <c r="M930" s="10"/>
      <c r="N930" s="10"/>
      <c r="O930" s="11"/>
      <c r="P930" s="10"/>
      <c r="Q930" s="11"/>
      <c r="R930" s="10"/>
      <c r="S930" s="10"/>
    </row>
    <row r="931" customFormat="false" ht="15" hidden="false" customHeight="true" outlineLevel="0" collapsed="false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10"/>
      <c r="M931" s="10"/>
      <c r="N931" s="10"/>
      <c r="O931" s="11"/>
      <c r="P931" s="10"/>
      <c r="Q931" s="11"/>
      <c r="R931" s="10"/>
      <c r="S931" s="10"/>
    </row>
    <row r="932" customFormat="false" ht="15" hidden="false" customHeight="true" outlineLevel="0" collapsed="false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10"/>
      <c r="M932" s="10"/>
      <c r="N932" s="10"/>
      <c r="O932" s="11"/>
      <c r="P932" s="10"/>
      <c r="Q932" s="11"/>
      <c r="R932" s="10"/>
      <c r="S932" s="10"/>
    </row>
    <row r="933" customFormat="false" ht="15" hidden="false" customHeight="true" outlineLevel="0" collapsed="false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10"/>
      <c r="M933" s="10"/>
      <c r="N933" s="10"/>
      <c r="O933" s="11"/>
      <c r="P933" s="10"/>
      <c r="Q933" s="11"/>
      <c r="R933" s="10"/>
      <c r="S933" s="10"/>
    </row>
    <row r="934" customFormat="false" ht="15" hidden="false" customHeight="true" outlineLevel="0" collapsed="false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10"/>
      <c r="M934" s="10"/>
      <c r="N934" s="10"/>
      <c r="O934" s="11"/>
      <c r="P934" s="10"/>
      <c r="Q934" s="11"/>
      <c r="R934" s="10"/>
      <c r="S934" s="10"/>
    </row>
    <row r="935" customFormat="false" ht="15" hidden="false" customHeight="true" outlineLevel="0" collapsed="false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10"/>
      <c r="M935" s="10"/>
      <c r="N935" s="10"/>
      <c r="O935" s="11"/>
      <c r="P935" s="10"/>
      <c r="Q935" s="11"/>
      <c r="R935" s="10"/>
      <c r="S935" s="10"/>
    </row>
    <row r="936" customFormat="false" ht="15" hidden="false" customHeight="true" outlineLevel="0" collapsed="false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10"/>
      <c r="M936" s="10"/>
      <c r="N936" s="10"/>
      <c r="O936" s="11"/>
      <c r="P936" s="10"/>
      <c r="Q936" s="11"/>
      <c r="R936" s="10"/>
      <c r="S936" s="10"/>
    </row>
    <row r="937" customFormat="false" ht="15" hidden="false" customHeight="true" outlineLevel="0" collapsed="false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10"/>
      <c r="M937" s="10"/>
      <c r="N937" s="10"/>
      <c r="O937" s="11"/>
      <c r="P937" s="10"/>
      <c r="Q937" s="11"/>
      <c r="R937" s="10"/>
      <c r="S937" s="10"/>
    </row>
    <row r="938" customFormat="false" ht="15" hidden="false" customHeight="true" outlineLevel="0" collapsed="false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10"/>
      <c r="M938" s="10"/>
      <c r="N938" s="10"/>
      <c r="O938" s="11"/>
      <c r="P938" s="10"/>
      <c r="Q938" s="11"/>
      <c r="R938" s="10"/>
      <c r="S938" s="10"/>
    </row>
    <row r="939" customFormat="false" ht="15" hidden="false" customHeight="true" outlineLevel="0" collapsed="false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10"/>
      <c r="M939" s="10"/>
      <c r="N939" s="10"/>
      <c r="O939" s="11"/>
      <c r="P939" s="10"/>
      <c r="Q939" s="11"/>
      <c r="R939" s="10"/>
      <c r="S939" s="10"/>
    </row>
    <row r="940" customFormat="false" ht="15" hidden="false" customHeight="true" outlineLevel="0" collapsed="false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10"/>
      <c r="M940" s="10"/>
      <c r="N940" s="10"/>
      <c r="O940" s="11"/>
      <c r="P940" s="10"/>
      <c r="Q940" s="11"/>
      <c r="R940" s="10"/>
      <c r="S940" s="10"/>
    </row>
    <row r="941" customFormat="false" ht="15" hidden="false" customHeight="true" outlineLevel="0" collapsed="false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10"/>
      <c r="M941" s="10"/>
      <c r="N941" s="10"/>
      <c r="O941" s="11"/>
      <c r="P941" s="10"/>
      <c r="Q941" s="11"/>
      <c r="R941" s="10"/>
      <c r="S941" s="10"/>
    </row>
    <row r="942" customFormat="false" ht="15" hidden="false" customHeight="true" outlineLevel="0" collapsed="false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10"/>
      <c r="M942" s="10"/>
      <c r="N942" s="10"/>
      <c r="O942" s="11"/>
      <c r="P942" s="10"/>
      <c r="Q942" s="11"/>
      <c r="R942" s="10"/>
      <c r="S942" s="10"/>
    </row>
    <row r="943" customFormat="false" ht="15" hidden="false" customHeight="true" outlineLevel="0" collapsed="false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10"/>
      <c r="M943" s="10"/>
      <c r="N943" s="10"/>
      <c r="O943" s="11"/>
      <c r="P943" s="10"/>
      <c r="Q943" s="11"/>
      <c r="R943" s="10"/>
      <c r="S943" s="10"/>
    </row>
    <row r="944" customFormat="false" ht="15" hidden="false" customHeight="true" outlineLevel="0" collapsed="false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10"/>
      <c r="M944" s="10"/>
      <c r="N944" s="10"/>
      <c r="O944" s="11"/>
      <c r="P944" s="10"/>
      <c r="Q944" s="11"/>
      <c r="R944" s="10"/>
      <c r="S944" s="10"/>
    </row>
    <row r="945" customFormat="false" ht="15" hidden="false" customHeight="true" outlineLevel="0" collapsed="false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10"/>
      <c r="M945" s="10"/>
      <c r="N945" s="10"/>
      <c r="O945" s="11"/>
      <c r="P945" s="10"/>
      <c r="Q945" s="11"/>
      <c r="R945" s="10"/>
      <c r="S945" s="10"/>
    </row>
    <row r="946" customFormat="false" ht="15" hidden="false" customHeight="true" outlineLevel="0" collapsed="false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10"/>
      <c r="M946" s="10"/>
      <c r="N946" s="10"/>
      <c r="O946" s="11"/>
      <c r="P946" s="10"/>
      <c r="Q946" s="11"/>
      <c r="R946" s="10"/>
      <c r="S946" s="10"/>
    </row>
    <row r="947" customFormat="false" ht="15" hidden="false" customHeight="true" outlineLevel="0" collapsed="false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10"/>
      <c r="M947" s="10"/>
      <c r="N947" s="10"/>
      <c r="O947" s="11"/>
      <c r="P947" s="10"/>
      <c r="Q947" s="11"/>
      <c r="R947" s="10"/>
      <c r="S947" s="10"/>
    </row>
    <row r="948" customFormat="false" ht="15" hidden="false" customHeight="true" outlineLevel="0" collapsed="false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10"/>
      <c r="M948" s="10"/>
      <c r="N948" s="10"/>
      <c r="O948" s="11"/>
      <c r="P948" s="10"/>
      <c r="Q948" s="11"/>
      <c r="R948" s="10"/>
      <c r="S948" s="10"/>
    </row>
    <row r="949" customFormat="false" ht="15" hidden="false" customHeight="true" outlineLevel="0" collapsed="false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10"/>
      <c r="M949" s="10"/>
      <c r="N949" s="10"/>
      <c r="O949" s="11"/>
      <c r="P949" s="10"/>
      <c r="Q949" s="11"/>
      <c r="R949" s="10"/>
      <c r="S949" s="10"/>
    </row>
    <row r="950" customFormat="false" ht="15" hidden="false" customHeight="true" outlineLevel="0" collapsed="false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10"/>
      <c r="M950" s="10"/>
      <c r="N950" s="10"/>
      <c r="O950" s="11"/>
      <c r="P950" s="10"/>
      <c r="Q950" s="11"/>
      <c r="R950" s="10"/>
      <c r="S950" s="10"/>
    </row>
    <row r="951" customFormat="false" ht="15" hidden="false" customHeight="true" outlineLevel="0" collapsed="false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10"/>
      <c r="M951" s="10"/>
      <c r="N951" s="10"/>
      <c r="O951" s="11"/>
      <c r="P951" s="10"/>
      <c r="Q951" s="11"/>
      <c r="R951" s="10"/>
      <c r="S951" s="10"/>
    </row>
    <row r="952" customFormat="false" ht="15" hidden="false" customHeight="true" outlineLevel="0" collapsed="false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10"/>
      <c r="M952" s="10"/>
      <c r="N952" s="10"/>
      <c r="O952" s="11"/>
      <c r="P952" s="10"/>
      <c r="Q952" s="11"/>
      <c r="R952" s="10"/>
      <c r="S952" s="10"/>
    </row>
    <row r="953" customFormat="false" ht="15" hidden="false" customHeight="true" outlineLevel="0" collapsed="false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10"/>
      <c r="M953" s="10"/>
      <c r="N953" s="10"/>
      <c r="O953" s="11"/>
      <c r="P953" s="10"/>
      <c r="Q953" s="11"/>
      <c r="R953" s="10"/>
      <c r="S953" s="10"/>
    </row>
    <row r="954" customFormat="false" ht="15" hidden="false" customHeight="true" outlineLevel="0" collapsed="false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10"/>
      <c r="M954" s="10"/>
      <c r="N954" s="10"/>
      <c r="O954" s="11"/>
      <c r="P954" s="10"/>
      <c r="Q954" s="11"/>
      <c r="R954" s="10"/>
      <c r="S954" s="10"/>
    </row>
    <row r="955" customFormat="false" ht="15" hidden="false" customHeight="true" outlineLevel="0" collapsed="false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10"/>
      <c r="M955" s="10"/>
      <c r="N955" s="10"/>
      <c r="O955" s="11"/>
      <c r="P955" s="10"/>
      <c r="Q955" s="11"/>
      <c r="R955" s="10"/>
      <c r="S955" s="10"/>
    </row>
    <row r="956" customFormat="false" ht="15" hidden="false" customHeight="true" outlineLevel="0" collapsed="false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10"/>
      <c r="M956" s="10"/>
      <c r="N956" s="10"/>
      <c r="O956" s="11"/>
      <c r="P956" s="10"/>
      <c r="Q956" s="11"/>
      <c r="R956" s="10"/>
      <c r="S956" s="10"/>
    </row>
    <row r="957" customFormat="false" ht="15" hidden="false" customHeight="true" outlineLevel="0" collapsed="false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10"/>
      <c r="M957" s="10"/>
      <c r="N957" s="10"/>
      <c r="O957" s="11"/>
      <c r="P957" s="10"/>
      <c r="Q957" s="11"/>
      <c r="R957" s="10"/>
      <c r="S957" s="10"/>
    </row>
    <row r="958" customFormat="false" ht="15" hidden="false" customHeight="true" outlineLevel="0" collapsed="false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10"/>
      <c r="M958" s="10"/>
      <c r="N958" s="10"/>
      <c r="O958" s="11"/>
      <c r="P958" s="10"/>
      <c r="Q958" s="11"/>
      <c r="R958" s="10"/>
      <c r="S958" s="10"/>
    </row>
    <row r="959" customFormat="false" ht="15" hidden="false" customHeight="true" outlineLevel="0" collapsed="false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10"/>
      <c r="M959" s="10"/>
      <c r="N959" s="10"/>
      <c r="O959" s="11"/>
      <c r="P959" s="10"/>
      <c r="Q959" s="11"/>
      <c r="R959" s="10"/>
      <c r="S959" s="10"/>
    </row>
    <row r="960" customFormat="false" ht="15" hidden="false" customHeight="true" outlineLevel="0" collapsed="false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10"/>
      <c r="M960" s="10"/>
      <c r="N960" s="10"/>
      <c r="O960" s="11"/>
      <c r="P960" s="10"/>
      <c r="Q960" s="11"/>
      <c r="R960" s="10"/>
      <c r="S960" s="10"/>
    </row>
    <row r="961" customFormat="false" ht="15" hidden="false" customHeight="true" outlineLevel="0" collapsed="false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10"/>
      <c r="M961" s="10"/>
      <c r="N961" s="10"/>
      <c r="O961" s="11"/>
      <c r="P961" s="10"/>
      <c r="Q961" s="11"/>
      <c r="R961" s="10"/>
      <c r="S961" s="10"/>
    </row>
    <row r="962" customFormat="false" ht="15" hidden="false" customHeight="true" outlineLevel="0" collapsed="false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10"/>
      <c r="M962" s="10"/>
      <c r="N962" s="10"/>
      <c r="O962" s="11"/>
      <c r="P962" s="10"/>
      <c r="Q962" s="11"/>
      <c r="R962" s="10"/>
      <c r="S962" s="10"/>
    </row>
    <row r="963" customFormat="false" ht="15" hidden="false" customHeight="true" outlineLevel="0" collapsed="false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10"/>
      <c r="M963" s="10"/>
      <c r="N963" s="10"/>
      <c r="O963" s="11"/>
      <c r="P963" s="10"/>
      <c r="Q963" s="11"/>
      <c r="R963" s="10"/>
      <c r="S963" s="10"/>
    </row>
    <row r="964" customFormat="false" ht="15" hidden="false" customHeight="true" outlineLevel="0" collapsed="false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10"/>
      <c r="M964" s="10"/>
      <c r="N964" s="10"/>
      <c r="O964" s="11"/>
      <c r="P964" s="10"/>
      <c r="Q964" s="11"/>
      <c r="R964" s="10"/>
      <c r="S964" s="10"/>
    </row>
    <row r="965" customFormat="false" ht="15" hidden="false" customHeight="true" outlineLevel="0" collapsed="false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10"/>
      <c r="M965" s="10"/>
      <c r="N965" s="10"/>
      <c r="O965" s="11"/>
      <c r="P965" s="10"/>
      <c r="Q965" s="11"/>
      <c r="R965" s="10"/>
      <c r="S965" s="10"/>
    </row>
    <row r="966" customFormat="false" ht="15" hidden="false" customHeight="true" outlineLevel="0" collapsed="false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10"/>
      <c r="M966" s="10"/>
      <c r="N966" s="10"/>
      <c r="O966" s="11"/>
      <c r="P966" s="10"/>
      <c r="Q966" s="11"/>
      <c r="R966" s="10"/>
      <c r="S966" s="10"/>
    </row>
    <row r="967" customFormat="false" ht="15" hidden="false" customHeight="true" outlineLevel="0" collapsed="false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10"/>
      <c r="M967" s="10"/>
      <c r="N967" s="10"/>
      <c r="O967" s="11"/>
      <c r="P967" s="10"/>
      <c r="Q967" s="11"/>
      <c r="R967" s="10"/>
      <c r="S967" s="10"/>
    </row>
    <row r="968" customFormat="false" ht="15" hidden="false" customHeight="true" outlineLevel="0" collapsed="false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10"/>
      <c r="M968" s="10"/>
      <c r="N968" s="10"/>
      <c r="O968" s="11"/>
      <c r="P968" s="10"/>
      <c r="Q968" s="11"/>
      <c r="R968" s="10"/>
      <c r="S968" s="10"/>
    </row>
    <row r="969" customFormat="false" ht="15" hidden="false" customHeight="true" outlineLevel="0" collapsed="false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10"/>
      <c r="M969" s="10"/>
      <c r="N969" s="10"/>
      <c r="O969" s="11"/>
      <c r="P969" s="10"/>
      <c r="Q969" s="11"/>
      <c r="R969" s="10"/>
      <c r="S969" s="10"/>
    </row>
    <row r="970" customFormat="false" ht="15" hidden="false" customHeight="true" outlineLevel="0" collapsed="false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10"/>
      <c r="M970" s="10"/>
      <c r="N970" s="10"/>
      <c r="O970" s="11"/>
      <c r="P970" s="10"/>
      <c r="Q970" s="11"/>
      <c r="R970" s="10"/>
      <c r="S970" s="10"/>
    </row>
    <row r="971" customFormat="false" ht="15" hidden="false" customHeight="true" outlineLevel="0" collapsed="false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10"/>
      <c r="M971" s="10"/>
      <c r="N971" s="10"/>
      <c r="O971" s="11"/>
      <c r="P971" s="10"/>
      <c r="Q971" s="11"/>
      <c r="R971" s="10"/>
      <c r="S971" s="10"/>
    </row>
    <row r="972" customFormat="false" ht="15" hidden="false" customHeight="true" outlineLevel="0" collapsed="false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10"/>
      <c r="M972" s="10"/>
      <c r="N972" s="10"/>
      <c r="O972" s="11"/>
      <c r="P972" s="10"/>
      <c r="Q972" s="11"/>
      <c r="R972" s="10"/>
      <c r="S972" s="10"/>
    </row>
    <row r="973" customFormat="false" ht="15" hidden="false" customHeight="true" outlineLevel="0" collapsed="false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10"/>
      <c r="M973" s="10"/>
      <c r="N973" s="10"/>
      <c r="O973" s="11"/>
      <c r="P973" s="10"/>
      <c r="Q973" s="11"/>
      <c r="R973" s="10"/>
      <c r="S973" s="10"/>
    </row>
    <row r="974" customFormat="false" ht="15" hidden="false" customHeight="true" outlineLevel="0" collapsed="false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10"/>
      <c r="M974" s="10"/>
      <c r="N974" s="10"/>
      <c r="O974" s="11"/>
      <c r="P974" s="10"/>
      <c r="Q974" s="11"/>
      <c r="R974" s="10"/>
      <c r="S974" s="10"/>
    </row>
    <row r="975" customFormat="false" ht="15" hidden="false" customHeight="true" outlineLevel="0" collapsed="false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10"/>
      <c r="M975" s="10"/>
      <c r="N975" s="10"/>
      <c r="O975" s="11"/>
      <c r="P975" s="10"/>
      <c r="Q975" s="11"/>
      <c r="R975" s="10"/>
      <c r="S975" s="10"/>
    </row>
    <row r="976" customFormat="false" ht="15" hidden="false" customHeight="true" outlineLevel="0" collapsed="false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10"/>
      <c r="M976" s="10"/>
      <c r="N976" s="10"/>
      <c r="O976" s="11"/>
      <c r="P976" s="10"/>
      <c r="Q976" s="11"/>
      <c r="R976" s="10"/>
      <c r="S976" s="10"/>
    </row>
    <row r="977" customFormat="false" ht="15" hidden="false" customHeight="true" outlineLevel="0" collapsed="false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10"/>
      <c r="M977" s="10"/>
      <c r="N977" s="10"/>
      <c r="O977" s="11"/>
      <c r="P977" s="10"/>
      <c r="Q977" s="11"/>
      <c r="R977" s="10"/>
      <c r="S977" s="10"/>
    </row>
    <row r="978" customFormat="false" ht="15" hidden="false" customHeight="true" outlineLevel="0" collapsed="false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10"/>
      <c r="M978" s="10"/>
      <c r="N978" s="10"/>
      <c r="O978" s="11"/>
      <c r="P978" s="10"/>
      <c r="Q978" s="11"/>
      <c r="R978" s="10"/>
      <c r="S978" s="10"/>
    </row>
    <row r="979" customFormat="false" ht="15" hidden="false" customHeight="true" outlineLevel="0" collapsed="false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10"/>
      <c r="M979" s="10"/>
      <c r="N979" s="10"/>
      <c r="O979" s="11"/>
      <c r="P979" s="10"/>
      <c r="Q979" s="11"/>
      <c r="R979" s="10"/>
      <c r="S979" s="10"/>
    </row>
    <row r="980" customFormat="false" ht="15" hidden="false" customHeight="true" outlineLevel="0" collapsed="false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10"/>
      <c r="M980" s="10"/>
      <c r="N980" s="10"/>
      <c r="O980" s="11"/>
      <c r="P980" s="10"/>
      <c r="Q980" s="11"/>
      <c r="R980" s="10"/>
      <c r="S980" s="10"/>
    </row>
    <row r="981" customFormat="false" ht="15" hidden="false" customHeight="true" outlineLevel="0" collapsed="false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10"/>
      <c r="M981" s="10"/>
      <c r="N981" s="10"/>
      <c r="O981" s="11"/>
      <c r="P981" s="10"/>
      <c r="Q981" s="11"/>
      <c r="R981" s="10"/>
      <c r="S981" s="10"/>
    </row>
    <row r="982" customFormat="false" ht="15" hidden="false" customHeight="true" outlineLevel="0" collapsed="false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10"/>
      <c r="M982" s="10"/>
      <c r="N982" s="10"/>
      <c r="O982" s="11"/>
      <c r="P982" s="10"/>
      <c r="Q982" s="11"/>
      <c r="R982" s="10"/>
      <c r="S982" s="10"/>
    </row>
    <row r="983" customFormat="false" ht="15" hidden="false" customHeight="true" outlineLevel="0" collapsed="false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10"/>
      <c r="M983" s="10"/>
      <c r="N983" s="10"/>
      <c r="O983" s="11"/>
      <c r="P983" s="10"/>
      <c r="Q983" s="11"/>
      <c r="R983" s="10"/>
      <c r="S983" s="10"/>
    </row>
    <row r="984" customFormat="false" ht="15" hidden="false" customHeight="true" outlineLevel="0" collapsed="false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10"/>
      <c r="M984" s="10"/>
      <c r="N984" s="10"/>
      <c r="O984" s="11"/>
      <c r="P984" s="10"/>
      <c r="Q984" s="11"/>
      <c r="R984" s="10"/>
      <c r="S984" s="10"/>
    </row>
    <row r="985" customFormat="false" ht="15" hidden="false" customHeight="true" outlineLevel="0" collapsed="false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10"/>
      <c r="M985" s="10"/>
      <c r="N985" s="10"/>
      <c r="O985" s="11"/>
      <c r="P985" s="10"/>
      <c r="Q985" s="11"/>
      <c r="R985" s="10"/>
      <c r="S985" s="10"/>
    </row>
    <row r="986" customFormat="false" ht="15" hidden="false" customHeight="true" outlineLevel="0" collapsed="false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10"/>
      <c r="M986" s="10"/>
      <c r="N986" s="10"/>
      <c r="O986" s="11"/>
      <c r="P986" s="10"/>
      <c r="Q986" s="11"/>
      <c r="R986" s="10"/>
      <c r="S986" s="10"/>
    </row>
    <row r="987" customFormat="false" ht="15" hidden="false" customHeight="true" outlineLevel="0" collapsed="false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10"/>
      <c r="M987" s="10"/>
      <c r="N987" s="10"/>
      <c r="O987" s="11"/>
      <c r="P987" s="10"/>
      <c r="Q987" s="11"/>
      <c r="R987" s="10"/>
      <c r="S987" s="10"/>
    </row>
    <row r="988" customFormat="false" ht="15" hidden="false" customHeight="true" outlineLevel="0" collapsed="false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10"/>
      <c r="M988" s="10"/>
      <c r="N988" s="10"/>
      <c r="O988" s="11"/>
      <c r="P988" s="10"/>
      <c r="Q988" s="11"/>
      <c r="R988" s="10"/>
      <c r="S988" s="10"/>
    </row>
    <row r="989" customFormat="false" ht="15" hidden="false" customHeight="true" outlineLevel="0" collapsed="false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10"/>
      <c r="M989" s="10"/>
      <c r="N989" s="10"/>
      <c r="O989" s="11"/>
      <c r="P989" s="10"/>
      <c r="Q989" s="11"/>
      <c r="R989" s="10"/>
      <c r="S989" s="10"/>
    </row>
    <row r="990" customFormat="false" ht="15" hidden="false" customHeight="true" outlineLevel="0" collapsed="false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10"/>
      <c r="M990" s="10"/>
      <c r="N990" s="10"/>
      <c r="O990" s="11"/>
      <c r="P990" s="10"/>
      <c r="Q990" s="11"/>
      <c r="R990" s="10"/>
      <c r="S990" s="10"/>
    </row>
    <row r="991" customFormat="false" ht="15" hidden="false" customHeight="true" outlineLevel="0" collapsed="false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10"/>
      <c r="M991" s="10"/>
      <c r="N991" s="10"/>
      <c r="O991" s="11"/>
      <c r="P991" s="10"/>
      <c r="Q991" s="11"/>
      <c r="R991" s="10"/>
      <c r="S991" s="10"/>
    </row>
    <row r="992" customFormat="false" ht="15" hidden="false" customHeight="true" outlineLevel="0" collapsed="false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10"/>
      <c r="M992" s="10"/>
      <c r="N992" s="10"/>
      <c r="O992" s="11"/>
      <c r="P992" s="10"/>
      <c r="Q992" s="11"/>
      <c r="R992" s="10"/>
      <c r="S992" s="10"/>
    </row>
    <row r="993" customFormat="false" ht="15" hidden="false" customHeight="true" outlineLevel="0" collapsed="false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10"/>
      <c r="M993" s="10"/>
      <c r="N993" s="10"/>
      <c r="O993" s="11"/>
      <c r="P993" s="10"/>
      <c r="Q993" s="11"/>
      <c r="R993" s="10"/>
      <c r="S993" s="10"/>
    </row>
    <row r="994" customFormat="false" ht="15" hidden="false" customHeight="true" outlineLevel="0" collapsed="false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10"/>
      <c r="M994" s="10"/>
      <c r="N994" s="10"/>
      <c r="O994" s="11"/>
      <c r="P994" s="10"/>
      <c r="Q994" s="11"/>
      <c r="R994" s="10"/>
      <c r="S994" s="10"/>
    </row>
    <row r="995" customFormat="false" ht="15" hidden="false" customHeight="true" outlineLevel="0" collapsed="false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10"/>
      <c r="M995" s="10"/>
      <c r="N995" s="10"/>
      <c r="O995" s="11"/>
      <c r="P995" s="10"/>
      <c r="Q995" s="11"/>
      <c r="R995" s="10"/>
      <c r="S995" s="10"/>
    </row>
    <row r="996" customFormat="false" ht="15" hidden="false" customHeight="true" outlineLevel="0" collapsed="false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10"/>
      <c r="M996" s="10"/>
      <c r="N996" s="10"/>
      <c r="O996" s="11"/>
      <c r="P996" s="10"/>
      <c r="Q996" s="11"/>
      <c r="R996" s="10"/>
      <c r="S996" s="10"/>
    </row>
    <row r="997" customFormat="false" ht="15" hidden="false" customHeight="true" outlineLevel="0" collapsed="false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10"/>
      <c r="M997" s="10"/>
      <c r="N997" s="10"/>
      <c r="O997" s="11"/>
      <c r="P997" s="10"/>
      <c r="Q997" s="11"/>
      <c r="R997" s="10"/>
      <c r="S997" s="10"/>
    </row>
    <row r="998" customFormat="false" ht="15" hidden="false" customHeight="true" outlineLevel="0" collapsed="false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10"/>
      <c r="M998" s="10"/>
      <c r="N998" s="10"/>
      <c r="O998" s="11"/>
      <c r="P998" s="10"/>
      <c r="Q998" s="11"/>
      <c r="R998" s="10"/>
      <c r="S998" s="10"/>
    </row>
    <row r="999" customFormat="false" ht="15" hidden="false" customHeight="true" outlineLevel="0" collapsed="false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10"/>
      <c r="M999" s="10"/>
      <c r="N999" s="10"/>
      <c r="O999" s="11"/>
      <c r="P999" s="10"/>
      <c r="Q999" s="11"/>
      <c r="R999" s="10"/>
      <c r="S999" s="10"/>
    </row>
    <row r="1000" customFormat="false" ht="15" hidden="false" customHeight="true" outlineLevel="0" collapsed="false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10"/>
      <c r="M1000" s="10"/>
      <c r="N1000" s="10"/>
      <c r="O1000" s="11"/>
      <c r="P1000" s="10"/>
      <c r="Q1000" s="11"/>
      <c r="R1000" s="10"/>
      <c r="S1000" s="10"/>
    </row>
    <row r="1001" customFormat="false" ht="15" hidden="false" customHeight="true" outlineLevel="0" collapsed="false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10"/>
      <c r="M1001" s="10"/>
      <c r="N1001" s="10"/>
      <c r="O1001" s="11"/>
      <c r="P1001" s="10"/>
      <c r="Q1001" s="11"/>
      <c r="R1001" s="10"/>
      <c r="S1001" s="10"/>
    </row>
    <row r="1002" customFormat="false" ht="15" hidden="false" customHeight="true" outlineLevel="0" collapsed="false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10"/>
      <c r="M1002" s="10"/>
      <c r="N1002" s="10"/>
      <c r="O1002" s="11"/>
      <c r="P1002" s="10"/>
      <c r="Q1002" s="11"/>
      <c r="R1002" s="10"/>
      <c r="S1002" s="10"/>
    </row>
    <row r="1003" customFormat="false" ht="15" hidden="false" customHeight="true" outlineLevel="0" collapsed="false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10"/>
      <c r="M1003" s="10"/>
      <c r="N1003" s="10"/>
      <c r="O1003" s="11"/>
      <c r="P1003" s="10"/>
      <c r="Q1003" s="11"/>
      <c r="R1003" s="10"/>
      <c r="S1003" s="10"/>
    </row>
    <row r="1004" customFormat="false" ht="15" hidden="false" customHeight="true" outlineLevel="0" collapsed="false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10"/>
      <c r="M1004" s="10"/>
      <c r="N1004" s="10"/>
      <c r="O1004" s="11"/>
      <c r="P1004" s="10"/>
      <c r="Q1004" s="11"/>
      <c r="R1004" s="10"/>
      <c r="S1004" s="10"/>
    </row>
    <row r="1005" customFormat="false" ht="15" hidden="false" customHeight="true" outlineLevel="0" collapsed="false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10"/>
      <c r="M1005" s="10"/>
      <c r="N1005" s="10"/>
      <c r="O1005" s="11"/>
      <c r="P1005" s="10"/>
      <c r="Q1005" s="11"/>
      <c r="R1005" s="10"/>
      <c r="S1005" s="10"/>
    </row>
    <row r="1006" customFormat="false" ht="15" hidden="false" customHeight="true" outlineLevel="0" collapsed="false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10"/>
      <c r="M1006" s="10"/>
      <c r="N1006" s="10"/>
      <c r="O1006" s="11"/>
      <c r="P1006" s="10"/>
      <c r="Q1006" s="11"/>
      <c r="R1006" s="10"/>
      <c r="S1006" s="10"/>
    </row>
  </sheetData>
  <autoFilter ref="A1:S2000"/>
  <dataValidations count="4">
    <dataValidation allowBlank="true" errorStyle="stop" operator="between" prompt="Would you apply, knowing what you know now?" promptTitle="Your verdict" showDropDown="false" showErrorMessage="false" showInputMessage="false" sqref="L2:L1006" type="list">
      <formula1>"Should apply,Maybe,Not a fit"</formula1>
      <formula2>0</formula2>
    </dataValidation>
    <dataValidation allowBlank="true" errorStyle="stop" operator="between" prompt="Main thing the agent got wrong, if anything." promptTitle="Agent error" showDropDown="false" showErrorMessage="false" showInputMessage="false" sqref="M2:M1006" type="list">
      <formula1>"None,Score too high,Score too low,Wrongly filtered,Should have been filtered,Timing mismatch,Location mismatch,Package problem"</formula1>
      <formula2>0</formula2>
    </dataValidation>
    <dataValidation allowBlank="true" errorStyle="stop" operator="between" prompt="Did you submit an application?" promptTitle="Applied?" showDropDown="false" showErrorMessage="false" showInputMessage="false" sqref="N2:N1006" type="list">
      <formula1>"Yes,No"</formula1>
      <formula2>0</formula2>
    </dataValidation>
    <dataValidation allowBlank="true" errorStyle="stop" operator="between" prompt="Furthest stage reached so far." promptTitle="Outcome" showDropDown="false" showErrorMessage="false" showInputMessage="false" sqref="P2:P1006" type="list">
      <formula1>"No response,Rejected,Screening,Interview,Offer,Withdrew"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1"/>
    <col collapsed="false" customWidth="true" hidden="false" outlineLevel="0" max="3" min="3" style="1" width="22"/>
    <col collapsed="false" customWidth="true" hidden="false" outlineLevel="0" max="4" min="4" style="1" width="30"/>
    <col collapsed="false" customWidth="true" hidden="false" outlineLevel="0" max="5" min="5" style="1" width="42"/>
    <col collapsed="false" customWidth="true" hidden="false" outlineLevel="0" max="6" min="6" style="1" width="40"/>
    <col collapsed="false" customWidth="true" hidden="false" outlineLevel="0" max="7" min="7" style="1" width="15"/>
    <col collapsed="false" customWidth="true" hidden="false" outlineLevel="0" max="8" min="8" style="1" width="34"/>
    <col collapsed="false" customWidth="true" hidden="false" outlineLevel="0" max="9" min="9" style="1" width="17"/>
    <col collapsed="false" customWidth="true" hidden="false" outlineLevel="0" max="10" min="10" style="1" width="44"/>
  </cols>
  <sheetData>
    <row r="1" customFormat="false" ht="15" hidden="false" customHeight="true" outlineLevel="0" collapsed="false">
      <c r="A1" s="7" t="s">
        <v>294</v>
      </c>
      <c r="B1" s="7" t="s">
        <v>295</v>
      </c>
      <c r="C1" s="7" t="s">
        <v>16</v>
      </c>
      <c r="D1" s="7" t="s">
        <v>296</v>
      </c>
      <c r="E1" s="7" t="s">
        <v>297</v>
      </c>
      <c r="F1" s="7" t="s">
        <v>298</v>
      </c>
      <c r="G1" s="7" t="s">
        <v>299</v>
      </c>
      <c r="H1" s="7" t="s">
        <v>300</v>
      </c>
      <c r="I1" s="7" t="s">
        <v>301</v>
      </c>
      <c r="J1" s="7" t="s">
        <v>33</v>
      </c>
    </row>
    <row r="2" customFormat="false" ht="23.25" hidden="false" customHeight="true" outlineLevel="0" collapsed="false">
      <c r="A2" s="13" t="s">
        <v>302</v>
      </c>
      <c r="B2" s="14" t="n">
        <v>46279</v>
      </c>
      <c r="C2" s="13" t="s">
        <v>74</v>
      </c>
      <c r="D2" s="13" t="s">
        <v>75</v>
      </c>
      <c r="E2" s="13" t="s">
        <v>303</v>
      </c>
      <c r="F2" s="13" t="s">
        <v>304</v>
      </c>
      <c r="G2" s="13" t="s">
        <v>305</v>
      </c>
      <c r="H2" s="13" t="s">
        <v>306</v>
      </c>
      <c r="I2" s="15" t="s">
        <v>307</v>
      </c>
      <c r="J2" s="13"/>
    </row>
    <row r="3" customFormat="false" ht="23.25" hidden="false" customHeight="true" outlineLevel="0" collapsed="false">
      <c r="A3" s="13" t="s">
        <v>308</v>
      </c>
      <c r="B3" s="14" t="n">
        <v>46280</v>
      </c>
      <c r="C3" s="13" t="s">
        <v>79</v>
      </c>
      <c r="D3" s="13" t="s">
        <v>80</v>
      </c>
      <c r="E3" s="13" t="s">
        <v>309</v>
      </c>
      <c r="F3" s="13" t="s">
        <v>310</v>
      </c>
      <c r="G3" s="13" t="s">
        <v>311</v>
      </c>
      <c r="H3" s="13" t="s">
        <v>312</v>
      </c>
      <c r="I3" s="16" t="s">
        <v>313</v>
      </c>
      <c r="J3" s="13" t="s">
        <v>314</v>
      </c>
    </row>
    <row r="4" customFormat="false" ht="45.75" hidden="false" customHeight="true" outlineLevel="0" collapsed="false">
      <c r="A4" s="13" t="s">
        <v>315</v>
      </c>
      <c r="B4" s="14" t="n">
        <v>46282</v>
      </c>
      <c r="C4" s="13" t="s">
        <v>79</v>
      </c>
      <c r="D4" s="13" t="s">
        <v>80</v>
      </c>
      <c r="E4" s="13" t="s">
        <v>316</v>
      </c>
      <c r="F4" s="13" t="s">
        <v>317</v>
      </c>
      <c r="G4" s="13" t="s">
        <v>318</v>
      </c>
      <c r="H4" s="13" t="s">
        <v>319</v>
      </c>
      <c r="I4" s="17" t="s">
        <v>320</v>
      </c>
      <c r="J4" s="13" t="s">
        <v>321</v>
      </c>
    </row>
    <row r="5" customFormat="false" ht="23.25" hidden="false" customHeight="true" outlineLevel="0" collapsed="false">
      <c r="A5" s="13" t="s">
        <v>322</v>
      </c>
      <c r="B5" s="14" t="n">
        <v>46286</v>
      </c>
      <c r="C5" s="13" t="s">
        <v>88</v>
      </c>
      <c r="D5" s="13" t="s">
        <v>89</v>
      </c>
      <c r="E5" s="13" t="s">
        <v>323</v>
      </c>
      <c r="F5" s="13" t="s">
        <v>324</v>
      </c>
      <c r="G5" s="13" t="s">
        <v>325</v>
      </c>
      <c r="H5" s="13" t="s">
        <v>326</v>
      </c>
      <c r="I5" s="16" t="s">
        <v>313</v>
      </c>
      <c r="J5" s="13"/>
    </row>
    <row r="6" customFormat="false" ht="23.25" hidden="false" customHeight="true" outlineLevel="0" collapsed="false">
      <c r="A6" s="13" t="s">
        <v>327</v>
      </c>
      <c r="B6" s="14" t="n">
        <v>46286</v>
      </c>
      <c r="C6" s="13" t="s">
        <v>83</v>
      </c>
      <c r="D6" s="13" t="s">
        <v>328</v>
      </c>
      <c r="E6" s="13" t="s">
        <v>329</v>
      </c>
      <c r="F6" s="13" t="s">
        <v>330</v>
      </c>
      <c r="G6" s="13" t="s">
        <v>331</v>
      </c>
      <c r="H6" s="13" t="s">
        <v>332</v>
      </c>
      <c r="I6" s="15" t="s">
        <v>307</v>
      </c>
      <c r="J6" s="13" t="s">
        <v>333</v>
      </c>
    </row>
    <row r="7" customFormat="false" ht="23.25" hidden="false" customHeight="true" outlineLevel="0" collapsed="false">
      <c r="A7" s="13" t="s">
        <v>334</v>
      </c>
      <c r="B7" s="14" t="n">
        <v>46288</v>
      </c>
      <c r="C7" s="13" t="s">
        <v>91</v>
      </c>
      <c r="D7" s="13" t="s">
        <v>92</v>
      </c>
      <c r="E7" s="13" t="s">
        <v>335</v>
      </c>
      <c r="F7" s="13" t="s">
        <v>336</v>
      </c>
      <c r="G7" s="13" t="s">
        <v>337</v>
      </c>
      <c r="H7" s="13" t="s">
        <v>326</v>
      </c>
      <c r="I7" s="16" t="s">
        <v>313</v>
      </c>
      <c r="J7" s="13" t="s">
        <v>338</v>
      </c>
    </row>
    <row r="8" customFormat="false" ht="23.25" hidden="false" customHeight="true" outlineLevel="0" collapsed="false">
      <c r="A8" s="13" t="s">
        <v>339</v>
      </c>
      <c r="B8" s="14" t="n">
        <v>46288</v>
      </c>
      <c r="C8" s="13" t="s">
        <v>174</v>
      </c>
      <c r="D8" s="13" t="s">
        <v>175</v>
      </c>
      <c r="E8" s="13" t="s">
        <v>340</v>
      </c>
      <c r="F8" s="13" t="s">
        <v>341</v>
      </c>
      <c r="G8" s="13" t="s">
        <v>18</v>
      </c>
      <c r="H8" s="13" t="s">
        <v>342</v>
      </c>
      <c r="I8" s="18" t="s">
        <v>343</v>
      </c>
      <c r="J8" s="13" t="s">
        <v>344</v>
      </c>
    </row>
    <row r="9" customFormat="false" ht="23.25" hidden="false" customHeight="true" outlineLevel="0" collapsed="false">
      <c r="A9" s="13" t="s">
        <v>345</v>
      </c>
      <c r="B9" s="14" t="n">
        <v>46288</v>
      </c>
      <c r="C9" s="13" t="s">
        <v>162</v>
      </c>
      <c r="D9" s="13" t="s">
        <v>163</v>
      </c>
      <c r="E9" s="13" t="s">
        <v>346</v>
      </c>
      <c r="F9" s="13" t="s">
        <v>347</v>
      </c>
      <c r="G9" s="13" t="s">
        <v>18</v>
      </c>
      <c r="H9" s="13" t="s">
        <v>348</v>
      </c>
      <c r="I9" s="15" t="s">
        <v>349</v>
      </c>
      <c r="J9" s="13"/>
    </row>
    <row r="10" customFormat="false" ht="23.25" hidden="false" customHeight="true" outlineLevel="0" collapsed="false">
      <c r="A10" s="13" t="s">
        <v>350</v>
      </c>
      <c r="B10" s="14" t="n">
        <v>46288</v>
      </c>
      <c r="C10" s="13" t="s">
        <v>351</v>
      </c>
      <c r="D10" s="13" t="s">
        <v>352</v>
      </c>
      <c r="E10" s="13" t="s">
        <v>353</v>
      </c>
      <c r="F10" s="13" t="s">
        <v>354</v>
      </c>
      <c r="G10" s="13" t="s">
        <v>18</v>
      </c>
      <c r="H10" s="13" t="s">
        <v>342</v>
      </c>
      <c r="I10" s="18" t="s">
        <v>343</v>
      </c>
      <c r="J10" s="13" t="s">
        <v>355</v>
      </c>
    </row>
    <row r="11" customFormat="false" ht="23.25" hidden="false" customHeight="true" outlineLevel="0" collapsed="false">
      <c r="A11" s="13" t="s">
        <v>356</v>
      </c>
      <c r="B11" s="14" t="n">
        <v>46288</v>
      </c>
      <c r="C11" s="13" t="s">
        <v>183</v>
      </c>
      <c r="D11" s="13" t="s">
        <v>184</v>
      </c>
      <c r="E11" s="13" t="s">
        <v>357</v>
      </c>
      <c r="F11" s="13" t="s">
        <v>358</v>
      </c>
      <c r="G11" s="13" t="s">
        <v>18</v>
      </c>
      <c r="H11" s="13" t="s">
        <v>342</v>
      </c>
      <c r="I11" s="18" t="s">
        <v>343</v>
      </c>
      <c r="J11" s="13" t="s">
        <v>355</v>
      </c>
    </row>
    <row r="12" customFormat="false" ht="23.25" hidden="false" customHeight="true" outlineLevel="0" collapsed="false">
      <c r="A12" s="13" t="s">
        <v>359</v>
      </c>
      <c r="B12" s="14" t="n">
        <v>46288</v>
      </c>
      <c r="C12" s="13" t="s">
        <v>159</v>
      </c>
      <c r="D12" s="13" t="s">
        <v>160</v>
      </c>
      <c r="E12" s="13" t="s">
        <v>360</v>
      </c>
      <c r="F12" s="13" t="s">
        <v>361</v>
      </c>
      <c r="G12" s="13" t="s">
        <v>311</v>
      </c>
      <c r="H12" s="13" t="s">
        <v>362</v>
      </c>
      <c r="I12" s="15" t="s">
        <v>349</v>
      </c>
      <c r="J12" s="13"/>
    </row>
    <row r="13" customFormat="false" ht="45.75" hidden="false" customHeight="true" outlineLevel="0" collapsed="false">
      <c r="A13" s="13" t="s">
        <v>363</v>
      </c>
      <c r="B13" s="14" t="n">
        <v>46288</v>
      </c>
      <c r="C13" s="13" t="s">
        <v>34</v>
      </c>
      <c r="D13" s="13" t="s">
        <v>70</v>
      </c>
      <c r="E13" s="13" t="s">
        <v>364</v>
      </c>
      <c r="F13" s="13" t="s">
        <v>365</v>
      </c>
      <c r="G13" s="13" t="s">
        <v>366</v>
      </c>
      <c r="H13" s="13" t="s">
        <v>367</v>
      </c>
      <c r="I13" s="15" t="s">
        <v>349</v>
      </c>
      <c r="J13" s="13" t="s">
        <v>368</v>
      </c>
    </row>
    <row r="14" customFormat="false" ht="23.25" hidden="false" customHeight="true" outlineLevel="0" collapsed="false">
      <c r="A14" s="13" t="s">
        <v>369</v>
      </c>
      <c r="B14" s="14" t="n">
        <v>46288</v>
      </c>
      <c r="C14" s="13" t="s">
        <v>187</v>
      </c>
      <c r="D14" s="13" t="s">
        <v>201</v>
      </c>
      <c r="E14" s="13" t="s">
        <v>370</v>
      </c>
      <c r="F14" s="13" t="s">
        <v>371</v>
      </c>
      <c r="G14" s="13" t="s">
        <v>311</v>
      </c>
      <c r="H14" s="13" t="s">
        <v>372</v>
      </c>
      <c r="I14" s="15" t="s">
        <v>307</v>
      </c>
      <c r="J14" s="13"/>
    </row>
    <row r="15" customFormat="false" ht="23.25" hidden="false" customHeight="true" outlineLevel="0" collapsed="false">
      <c r="A15" s="13" t="s">
        <v>373</v>
      </c>
      <c r="B15" s="14" t="n">
        <v>46288</v>
      </c>
      <c r="C15" s="13" t="s">
        <v>177</v>
      </c>
      <c r="D15" s="13" t="s">
        <v>178</v>
      </c>
      <c r="E15" s="13" t="s">
        <v>374</v>
      </c>
      <c r="F15" s="13" t="s">
        <v>375</v>
      </c>
      <c r="G15" s="13" t="s">
        <v>376</v>
      </c>
      <c r="H15" s="13" t="s">
        <v>377</v>
      </c>
      <c r="I15" s="15" t="s">
        <v>307</v>
      </c>
      <c r="J15" s="13"/>
    </row>
    <row r="16" customFormat="false" ht="23.25" hidden="false" customHeight="true" outlineLevel="0" collapsed="false">
      <c r="A16" s="13" t="s">
        <v>378</v>
      </c>
      <c r="B16" s="14" t="n">
        <v>46290</v>
      </c>
      <c r="C16" s="13" t="s">
        <v>233</v>
      </c>
      <c r="D16" s="13" t="s">
        <v>234</v>
      </c>
      <c r="E16" s="13" t="s">
        <v>379</v>
      </c>
      <c r="F16" s="13" t="s">
        <v>380</v>
      </c>
      <c r="G16" s="13" t="s">
        <v>381</v>
      </c>
      <c r="H16" s="13" t="s">
        <v>382</v>
      </c>
      <c r="I16" s="15" t="s">
        <v>307</v>
      </c>
      <c r="J16" s="13"/>
    </row>
    <row r="17" customFormat="false" ht="23.25" hidden="false" customHeight="true" outlineLevel="0" collapsed="false">
      <c r="A17" s="13" t="s">
        <v>383</v>
      </c>
      <c r="B17" s="14" t="n">
        <v>46290</v>
      </c>
      <c r="C17" s="13" t="s">
        <v>230</v>
      </c>
      <c r="D17" s="13" t="s">
        <v>231</v>
      </c>
      <c r="E17" s="13" t="s">
        <v>384</v>
      </c>
      <c r="F17" s="13" t="s">
        <v>385</v>
      </c>
      <c r="G17" s="13" t="s">
        <v>386</v>
      </c>
      <c r="H17" s="13" t="s">
        <v>387</v>
      </c>
      <c r="I17" s="18" t="s">
        <v>343</v>
      </c>
      <c r="J17" s="13"/>
    </row>
    <row r="18" customFormat="false" ht="34.5" hidden="false" customHeight="true" outlineLevel="0" collapsed="false">
      <c r="A18" s="13" t="s">
        <v>388</v>
      </c>
      <c r="B18" s="14" t="n">
        <v>46290</v>
      </c>
      <c r="C18" s="13" t="s">
        <v>389</v>
      </c>
      <c r="D18" s="13" t="s">
        <v>390</v>
      </c>
      <c r="E18" s="13" t="s">
        <v>391</v>
      </c>
      <c r="F18" s="13" t="s">
        <v>392</v>
      </c>
      <c r="G18" s="13" t="s">
        <v>393</v>
      </c>
      <c r="H18" s="13" t="s">
        <v>394</v>
      </c>
      <c r="I18" s="15" t="s">
        <v>307</v>
      </c>
      <c r="J18" s="13"/>
    </row>
    <row r="19" customFormat="false" ht="34.5" hidden="false" customHeight="true" outlineLevel="0" collapsed="false">
      <c r="A19" s="13" t="s">
        <v>395</v>
      </c>
      <c r="B19" s="14" t="n">
        <v>46272</v>
      </c>
      <c r="C19" s="13" t="s">
        <v>396</v>
      </c>
      <c r="D19" s="13" t="s">
        <v>397</v>
      </c>
      <c r="E19" s="13" t="s">
        <v>398</v>
      </c>
      <c r="F19" s="13" t="s">
        <v>399</v>
      </c>
      <c r="G19" s="13" t="s">
        <v>400</v>
      </c>
      <c r="H19" s="13" t="s">
        <v>401</v>
      </c>
      <c r="I19" s="15" t="s">
        <v>307</v>
      </c>
      <c r="J19" s="13" t="s">
        <v>402</v>
      </c>
    </row>
  </sheetData>
  <dataValidations count="1">
    <dataValidation allowBlank="true" errorStyle="stop" operator="between" showDropDown="false" showErrorMessage="false" showInputMessage="false" sqref="I2:I500" type="list">
      <formula1>"Fixed in code,Fixed in later run,Partly fixed,Open,Needs your call,Not a bug"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15"/>
  </cols>
  <sheetData>
    <row r="1" customFormat="false" ht="15" hidden="false" customHeight="false" outlineLevel="0" collapsed="false">
      <c r="A1" s="19"/>
      <c r="B1" s="19" t="s">
        <v>403</v>
      </c>
      <c r="C1" s="19" t="s">
        <v>404</v>
      </c>
      <c r="E1" s="20" t="s">
        <v>405</v>
      </c>
    </row>
    <row r="2" customFormat="false" ht="15" hidden="false" customHeight="false" outlineLevel="0" collapsed="false">
      <c r="A2" s="21" t="s">
        <v>406</v>
      </c>
      <c r="B2" s="22"/>
      <c r="C2" s="22"/>
      <c r="E2" s="20" t="s">
        <v>407</v>
      </c>
    </row>
    <row r="3" customFormat="false" ht="15" hidden="false" customHeight="false" outlineLevel="0" collapsed="false">
      <c r="A3" s="23" t="s">
        <v>408</v>
      </c>
      <c r="B3" s="22" t="n">
        <f aca="false">COUNTIFS('Agent Log'!$I$2:$I$2000,"&lt;&gt;legacy",'Agent Log'!$E$2:$E$2000,"&lt;&gt;not surfaced",'Agent Log'!$B$2:$B$2000,"&lt;&gt;")</f>
        <v>0</v>
      </c>
      <c r="C3" s="22" t="n">
        <f aca="false">COUNTIFS('Agent Log'!$I$2:$I$2000,"legacy")</f>
        <v>101</v>
      </c>
    </row>
    <row r="4" customFormat="false" ht="15" hidden="false" customHeight="false" outlineLevel="0" collapsed="false">
      <c r="A4" s="23" t="s">
        <v>409</v>
      </c>
      <c r="B4" s="22" t="n">
        <f aca="false">COUNTIFS('Agent Log'!$I$2:$I$2000,"&lt;&gt;legacy",'Agent Log'!$E$2:$E$2000,"approved")</f>
        <v>0</v>
      </c>
      <c r="C4" s="22" t="n">
        <f aca="false">COUNTIFS('Agent Log'!$I$2:$I$2000,"legacy",'Agent Log'!$E$2:$E$2000,"approved")</f>
        <v>31</v>
      </c>
    </row>
    <row r="5" customFormat="false" ht="15" hidden="false" customHeight="false" outlineLevel="0" collapsed="false">
      <c r="A5" s="23" t="s">
        <v>410</v>
      </c>
      <c r="B5" s="22" t="n">
        <f aca="false">COUNTIFS('Agent Log'!$I$2:$I$2000,"&lt;&gt;legacy",'Agent Log'!$E$2:$E$2000,"near_miss")</f>
        <v>0</v>
      </c>
      <c r="C5" s="22" t="n">
        <f aca="false">COUNTIFS('Agent Log'!$I$2:$I$2000,"legacy",'Agent Log'!$E$2:$E$2000,"near_miss")</f>
        <v>1</v>
      </c>
    </row>
    <row r="6" customFormat="false" ht="15" hidden="false" customHeight="false" outlineLevel="0" collapsed="false">
      <c r="A6" s="23" t="s">
        <v>411</v>
      </c>
      <c r="B6" s="22" t="n">
        <f aca="false">COUNTIFS('Agent Log'!$I$2:$I$2000,"&lt;&gt;legacy",'Agent Log'!$E$2:$E$2000,"below_floor")</f>
        <v>0</v>
      </c>
      <c r="C6" s="22" t="n">
        <f aca="false">COUNTIFS('Agent Log'!$I$2:$I$2000,"legacy",'Agent Log'!$E$2:$E$2000,"below_floor")</f>
        <v>0</v>
      </c>
    </row>
    <row r="7" customFormat="false" ht="15" hidden="false" customHeight="false" outlineLevel="0" collapsed="false">
      <c r="A7" s="23" t="s">
        <v>412</v>
      </c>
      <c r="B7" s="22" t="n">
        <f aca="false">COUNTIFS('Agent Log'!$I$2:$I$2000,"&lt;&gt;legacy",'Agent Log'!$E$2:$E$2000,"filtered")</f>
        <v>0</v>
      </c>
      <c r="C7" s="22" t="n">
        <f aca="false">COUNTIFS('Agent Log'!$I$2:$I$2000,"legacy",'Agent Log'!$E$2:$E$2000,"filtered")</f>
        <v>69</v>
      </c>
    </row>
    <row r="8" customFormat="false" ht="15" hidden="false" customHeight="false" outlineLevel="0" collapsed="false">
      <c r="A8" s="23"/>
      <c r="B8" s="22"/>
      <c r="C8" s="22"/>
    </row>
    <row r="9" customFormat="false" ht="15" hidden="false" customHeight="false" outlineLevel="0" collapsed="false">
      <c r="A9" s="21" t="s">
        <v>413</v>
      </c>
      <c r="B9" s="22"/>
      <c r="C9" s="22"/>
    </row>
    <row r="10" customFormat="false" ht="15" hidden="false" customHeight="false" outlineLevel="0" collapsed="false">
      <c r="A10" s="23" t="s">
        <v>414</v>
      </c>
      <c r="B10" s="22" t="n">
        <f aca="false">COUNTIFS('Agent Log'!$I$2:$I$2000,"&lt;&gt;legacy",'Agent Log'!$E$2:$E$2000,"approved",'Agent Log'!$L$2:$L$2000,"&lt;&gt;")</f>
        <v>0</v>
      </c>
      <c r="C10" s="22" t="n">
        <f aca="false">COUNTIFS('Agent Log'!$I$2:$I$2000,"legacy",'Agent Log'!$E$2:$E$2000,"approved",'Agent Log'!$L$2:$L$2000,"&lt;&gt;")</f>
        <v>5</v>
      </c>
    </row>
    <row r="11" customFormat="false" ht="15" hidden="false" customHeight="false" outlineLevel="0" collapsed="false">
      <c r="A11" s="23" t="s">
        <v>415</v>
      </c>
      <c r="B11" s="22" t="n">
        <f aca="false">COUNTIFS('Agent Log'!$I$2:$I$2000,"&lt;&gt;legacy",'Agent Log'!$E$2:$E$2000,"approved",'Agent Log'!$L$2:$L$2000,"Should apply")</f>
        <v>0</v>
      </c>
      <c r="C11" s="22" t="n">
        <f aca="false">COUNTIFS('Agent Log'!$I$2:$I$2000,"legacy",'Agent Log'!$E$2:$E$2000,"approved",'Agent Log'!$L$2:$L$2000,"Should apply")</f>
        <v>4</v>
      </c>
    </row>
    <row r="12" customFormat="false" ht="15" hidden="false" customHeight="false" outlineLevel="0" collapsed="false">
      <c r="A12" s="24" t="s">
        <v>416</v>
      </c>
      <c r="B12" s="25" t="str">
        <f aca="false">IFERROR(B11/B10,"—")</f>
        <v>—</v>
      </c>
      <c r="C12" s="25" t="n">
        <f aca="false">IFERROR(C11/C10,"—")</f>
        <v>0.8</v>
      </c>
    </row>
    <row r="13" customFormat="false" ht="15" hidden="false" customHeight="false" outlineLevel="0" collapsed="false">
      <c r="A13" s="23" t="s">
        <v>417</v>
      </c>
      <c r="B13" s="22" t="n">
        <f aca="false">COUNTIFS('Agent Log'!$I$2:$I$2000,"&lt;&gt;legacy",'Agent Log'!$E$2:$E$2000,"near_miss",'Agent Log'!$L$2:$L$2000,"&lt;&gt;")</f>
        <v>0</v>
      </c>
      <c r="C13" s="22" t="n">
        <f aca="false">COUNTIFS('Agent Log'!$I$2:$I$2000,"legacy",'Agent Log'!$E$2:$E$2000,"near_miss",'Agent Log'!$L$2:$L$2000,"&lt;&gt;")</f>
        <v>1</v>
      </c>
    </row>
    <row r="14" customFormat="false" ht="15" hidden="false" customHeight="false" outlineLevel="0" collapsed="false">
      <c r="A14" s="23" t="s">
        <v>418</v>
      </c>
      <c r="B14" s="22" t="n">
        <f aca="false">COUNTIFS('Agent Log'!$I$2:$I$2000,"&lt;&gt;legacy",'Agent Log'!$E$2:$E$2000,"near_miss",'Agent Log'!$L$2:$L$2000,"Should apply")</f>
        <v>0</v>
      </c>
      <c r="C14" s="22" t="n">
        <f aca="false">COUNTIFS('Agent Log'!$I$2:$I$2000,"legacy",'Agent Log'!$E$2:$E$2000,"near_miss",'Agent Log'!$L$2:$L$2000,"Should apply")</f>
        <v>1</v>
      </c>
    </row>
    <row r="15" customFormat="false" ht="15" hidden="false" customHeight="false" outlineLevel="0" collapsed="false">
      <c r="A15" s="24" t="s">
        <v>419</v>
      </c>
      <c r="B15" s="25" t="str">
        <f aca="false">IFERROR(B14/B13,"—")</f>
        <v>—</v>
      </c>
      <c r="C15" s="25" t="n">
        <f aca="false">IFERROR(C14/C13,"—")</f>
        <v>1</v>
      </c>
    </row>
    <row r="16" customFormat="false" ht="15" hidden="false" customHeight="false" outlineLevel="0" collapsed="false">
      <c r="A16" s="23"/>
      <c r="B16" s="22"/>
      <c r="C16" s="22"/>
    </row>
    <row r="17" customFormat="false" ht="15" hidden="false" customHeight="false" outlineLevel="0" collapsed="false">
      <c r="A17" s="21" t="s">
        <v>420</v>
      </c>
      <c r="B17" s="22"/>
      <c r="C17" s="22"/>
    </row>
    <row r="18" customFormat="false" ht="15" hidden="false" customHeight="false" outlineLevel="0" collapsed="false">
      <c r="A18" s="23" t="s">
        <v>421</v>
      </c>
      <c r="B18" s="22" t="n">
        <f aca="false">COUNTIFS('Agent Log'!$I$2:$I$2000,"&lt;&gt;legacy",'Agent Log'!$K$2:$K$2000,"Sample",'Agent Log'!$L$2:$L$2000,"&lt;&gt;")</f>
        <v>0</v>
      </c>
      <c r="C18" s="22" t="n">
        <f aca="false">COUNTIFS('Agent Log'!$I$2:$I$2000,"legacy",'Agent Log'!$E$2:$E$2000,"filtered",'Agent Log'!$L$2:$L$2000,"&lt;&gt;")</f>
        <v>0</v>
      </c>
    </row>
    <row r="19" customFormat="false" ht="15" hidden="false" customHeight="false" outlineLevel="0" collapsed="false">
      <c r="A19" s="23" t="s">
        <v>422</v>
      </c>
      <c r="B19" s="22" t="n">
        <f aca="false">COUNTIFS('Agent Log'!$I$2:$I$2000,"&lt;&gt;legacy",'Agent Log'!$K$2:$K$2000,"Sample",'Agent Log'!$L$2:$L$2000,"Should apply")</f>
        <v>0</v>
      </c>
      <c r="C19" s="22" t="n">
        <f aca="false">COUNTIFS('Agent Log'!$I$2:$I$2000,"legacy",'Agent Log'!$E$2:$E$2000,"filtered",'Agent Log'!$L$2:$L$2000,"Should apply")</f>
        <v>0</v>
      </c>
    </row>
    <row r="20" customFormat="false" ht="15" hidden="false" customHeight="false" outlineLevel="0" collapsed="false">
      <c r="A20" s="24" t="s">
        <v>423</v>
      </c>
      <c r="B20" s="25" t="str">
        <f aca="false">IFERROR(B19/B18,"—")</f>
        <v>—</v>
      </c>
      <c r="C20" s="25" t="str">
        <f aca="false">IFERROR(C19/C18,"—")</f>
        <v>—</v>
      </c>
    </row>
    <row r="21" customFormat="false" ht="15" hidden="false" customHeight="false" outlineLevel="0" collapsed="false">
      <c r="A21" s="23" t="s">
        <v>424</v>
      </c>
      <c r="B21" s="22" t="n">
        <f aca="false">COUNTIF('Agent Log'!$E$2:$E$2000,"not surfaced")</f>
        <v>1</v>
      </c>
      <c r="C21" s="22"/>
    </row>
    <row r="22" customFormat="false" ht="15" hidden="false" customHeight="false" outlineLevel="0" collapsed="false">
      <c r="A22" s="23"/>
      <c r="B22" s="22"/>
      <c r="C22" s="22"/>
    </row>
    <row r="23" customFormat="false" ht="15" hidden="false" customHeight="false" outlineLevel="0" collapsed="false">
      <c r="A23" s="21" t="s">
        <v>425</v>
      </c>
      <c r="B23" s="22"/>
      <c r="C23" s="22"/>
    </row>
    <row r="24" customFormat="false" ht="15" hidden="false" customHeight="false" outlineLevel="0" collapsed="false">
      <c r="A24" s="23" t="s">
        <v>426</v>
      </c>
      <c r="B24" s="22" t="n">
        <f aca="false">COUNTIF('Agent Log'!$N$2:$N$2000,"Yes")</f>
        <v>5</v>
      </c>
      <c r="C24" s="22"/>
    </row>
    <row r="25" customFormat="false" ht="15" hidden="false" customHeight="false" outlineLevel="0" collapsed="false">
      <c r="A25" s="23" t="s">
        <v>427</v>
      </c>
      <c r="B25" s="22" t="n">
        <f aca="false">COUNTIFS('Agent Log'!$N$2:$N$2000,"Yes",'Agent Log'!$P$2:$P$2000,"Screening")+COUNTIFS('Agent Log'!$N$2:$N$2000,"Yes",'Agent Log'!$P$2:$P$2000,"Interview")+COUNTIFS('Agent Log'!$N$2:$N$2000,"Yes",'Agent Log'!$P$2:$P$2000,"Offer")</f>
        <v>1</v>
      </c>
      <c r="C25" s="22"/>
    </row>
    <row r="26" customFormat="false" ht="15" hidden="false" customHeight="false" outlineLevel="0" collapsed="false">
      <c r="A26" s="24" t="s">
        <v>428</v>
      </c>
      <c r="B26" s="25" t="n">
        <f aca="false">IFERROR(B25/B24,"—")</f>
        <v>0.2</v>
      </c>
      <c r="C26" s="25"/>
    </row>
    <row r="27" customFormat="false" ht="15" hidden="false" customHeight="false" outlineLevel="0" collapsed="false">
      <c r="A27" s="23" t="s">
        <v>429</v>
      </c>
      <c r="B27" s="22" t="n">
        <f aca="false">COUNTIFS('Agent Log'!$N$2:$N$2000,"Yes",'Agent Log'!$P$2:$P$2000,"Rejected")</f>
        <v>0</v>
      </c>
      <c r="C27" s="22"/>
    </row>
    <row r="28" customFormat="false" ht="15" hidden="false" customHeight="false" outlineLevel="0" collapsed="false">
      <c r="A28" s="23"/>
      <c r="B28" s="22"/>
      <c r="C28" s="22"/>
    </row>
    <row r="29" customFormat="false" ht="15" hidden="false" customHeight="false" outlineLevel="0" collapsed="false">
      <c r="A29" s="21" t="s">
        <v>430</v>
      </c>
      <c r="B29" s="22"/>
      <c r="C29" s="22"/>
    </row>
    <row r="30" customFormat="false" ht="15" hidden="false" customHeight="false" outlineLevel="0" collapsed="false">
      <c r="A30" s="23" t="s">
        <v>431</v>
      </c>
      <c r="B30" s="22" t="n">
        <f aca="false">COUNTIFS('Agent Log'!$I$2:$I$2000,"&lt;&gt;legacy",'Agent Log'!$M$2:$M$2000,"Score too high")</f>
        <v>0</v>
      </c>
      <c r="C30" s="22" t="n">
        <f aca="false">COUNTIFS('Agent Log'!$I$2:$I$2000,"legacy",'Agent Log'!$M$2:$M$2000,"Score too high")</f>
        <v>0</v>
      </c>
    </row>
    <row r="31" customFormat="false" ht="15" hidden="false" customHeight="false" outlineLevel="0" collapsed="false">
      <c r="A31" s="23" t="s">
        <v>432</v>
      </c>
      <c r="B31" s="22" t="n">
        <f aca="false">COUNTIFS('Agent Log'!$I$2:$I$2000,"&lt;&gt;legacy",'Agent Log'!$M$2:$M$2000,"Score too low")</f>
        <v>0</v>
      </c>
      <c r="C31" s="22" t="n">
        <f aca="false">COUNTIFS('Agent Log'!$I$2:$I$2000,"legacy",'Agent Log'!$M$2:$M$2000,"Score too low")</f>
        <v>0</v>
      </c>
    </row>
    <row r="32" customFormat="false" ht="15" hidden="false" customHeight="false" outlineLevel="0" collapsed="false">
      <c r="A32" s="23" t="s">
        <v>433</v>
      </c>
      <c r="B32" s="22" t="n">
        <f aca="false">COUNTIFS('Agent Log'!$I$2:$I$2000,"&lt;&gt;legacy",'Agent Log'!$M$2:$M$2000,"Wrongly filtered")</f>
        <v>0</v>
      </c>
      <c r="C32" s="22" t="n">
        <f aca="false">COUNTIFS('Agent Log'!$I$2:$I$2000,"legacy",'Agent Log'!$M$2:$M$2000,"Wrongly filtered")</f>
        <v>0</v>
      </c>
    </row>
    <row r="33" customFormat="false" ht="15" hidden="false" customHeight="false" outlineLevel="0" collapsed="false">
      <c r="A33" s="23" t="s">
        <v>434</v>
      </c>
      <c r="B33" s="22" t="n">
        <f aca="false">COUNTIFS('Agent Log'!$I$2:$I$2000,"&lt;&gt;legacy",'Agent Log'!$M$2:$M$2000,"Should have been filtered")</f>
        <v>0</v>
      </c>
      <c r="C33" s="22" t="n">
        <f aca="false">COUNTIFS('Agent Log'!$I$2:$I$2000,"legacy",'Agent Log'!$M$2:$M$2000,"Should have been filtered")</f>
        <v>0</v>
      </c>
    </row>
    <row r="34" customFormat="false" ht="15" hidden="false" customHeight="false" outlineLevel="0" collapsed="false">
      <c r="A34" s="23" t="s">
        <v>62</v>
      </c>
      <c r="B34" s="22" t="n">
        <f aca="false">COUNTIFS('Agent Log'!$I$2:$I$2000,"&lt;&gt;legacy",'Agent Log'!$M$2:$M$2000,"Timing mismatch")</f>
        <v>0</v>
      </c>
      <c r="C34" s="22" t="n">
        <f aca="false">COUNTIFS('Agent Log'!$I$2:$I$2000,"legacy",'Agent Log'!$M$2:$M$2000,"Timing mismatch")</f>
        <v>1</v>
      </c>
    </row>
    <row r="35" customFormat="false" ht="15" hidden="false" customHeight="false" outlineLevel="0" collapsed="false">
      <c r="A35" s="23" t="s">
        <v>435</v>
      </c>
      <c r="B35" s="22" t="n">
        <f aca="false">COUNTIFS('Agent Log'!$I$2:$I$2000,"&lt;&gt;legacy",'Agent Log'!$M$2:$M$2000,"Location mismatch")</f>
        <v>0</v>
      </c>
      <c r="C35" s="22" t="n">
        <f aca="false">COUNTIFS('Agent Log'!$I$2:$I$2000,"legacy",'Agent Log'!$M$2:$M$2000,"Location mismatch")</f>
        <v>0</v>
      </c>
    </row>
    <row r="36" customFormat="false" ht="15" hidden="false" customHeight="false" outlineLevel="0" collapsed="false">
      <c r="A36" s="23" t="s">
        <v>55</v>
      </c>
      <c r="B36" s="22" t="n">
        <f aca="false">COUNTIFS('Agent Log'!$I$2:$I$2000,"&lt;&gt;legacy",'Agent Log'!$M$2:$M$2000,"Package problem")</f>
        <v>0</v>
      </c>
      <c r="C36" s="22" t="n">
        <f aca="false">COUNTIFS('Agent Log'!$I$2:$I$2000,"legacy",'Agent Log'!$M$2:$M$2000,"Package problem")</f>
        <v>1</v>
      </c>
    </row>
    <row r="37" customFormat="false" ht="15" hidden="false" customHeight="false" outlineLevel="0" collapsed="false">
      <c r="A37" s="23"/>
      <c r="B37" s="22"/>
      <c r="C37" s="22"/>
    </row>
    <row r="38" customFormat="false" ht="15" hidden="false" customHeight="false" outlineLevel="0" collapsed="false">
      <c r="A38" s="21" t="s">
        <v>436</v>
      </c>
      <c r="B38" s="22"/>
      <c r="C38" s="22"/>
    </row>
    <row r="39" customFormat="false" ht="15" hidden="false" customHeight="false" outlineLevel="0" collapsed="false">
      <c r="A39" s="23" t="s">
        <v>307</v>
      </c>
      <c r="B39" s="22" t="n">
        <f aca="false">COUNTIF('Test cases'!$I$2:$I$500,"Fixed in code")</f>
        <v>7</v>
      </c>
      <c r="C39" s="22"/>
    </row>
    <row r="40" customFormat="false" ht="15" hidden="false" customHeight="false" outlineLevel="0" collapsed="false">
      <c r="A40" s="23" t="s">
        <v>349</v>
      </c>
      <c r="B40" s="22" t="n">
        <f aca="false">COUNTIF('Test cases'!$I$2:$I$500,"Fixed in later run")</f>
        <v>3</v>
      </c>
      <c r="C40" s="22"/>
    </row>
    <row r="41" customFormat="false" ht="15" hidden="false" customHeight="false" outlineLevel="0" collapsed="false">
      <c r="A41" s="23" t="s">
        <v>313</v>
      </c>
      <c r="B41" s="22" t="n">
        <f aca="false">COUNTIF('Test cases'!$I$2:$I$500,"Partly fixed")</f>
        <v>3</v>
      </c>
      <c r="C41" s="22"/>
    </row>
    <row r="42" customFormat="false" ht="15" hidden="false" customHeight="false" outlineLevel="0" collapsed="false">
      <c r="A42" s="23" t="s">
        <v>343</v>
      </c>
      <c r="B42" s="22" t="n">
        <f aca="false">COUNTIF('Test cases'!$I$2:$I$500,"Open")</f>
        <v>4</v>
      </c>
      <c r="C42" s="22"/>
    </row>
    <row r="43" customFormat="false" ht="15" hidden="false" customHeight="false" outlineLevel="0" collapsed="false">
      <c r="A43" s="23" t="s">
        <v>437</v>
      </c>
      <c r="B43" s="22" t="n">
        <f aca="false">COUNTIF('Test cases'!$I$2:$I$500,"Needs your call")</f>
        <v>0</v>
      </c>
      <c r="C43" s="22"/>
    </row>
    <row r="44" customFormat="false" ht="15" hidden="false" customHeight="false" outlineLevel="0" collapsed="false">
      <c r="A44" s="23" t="s">
        <v>320</v>
      </c>
      <c r="B44" s="22" t="n">
        <f aca="false">COUNTIF('Test cases'!$I$2:$I$500,"Not a bug")</f>
        <v>1</v>
      </c>
      <c r="C44" s="2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2026-09-26T13:20:51Z</dcterms:created>
  <dc:creator>openpyxl</dc:creator>
  <dc:description/>
  <dc:language>en-US</dc:language>
  <cp:lastModifiedBy/>
  <dcterms:modified xsi:type="dcterms:W3CDTF">2026-09-26T22:26:46Z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